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imensões" sheetId="3" state="visible" r:id="rId3"/>
    <sheet xmlns:r="http://schemas.openxmlformats.org/officeDocument/2006/relationships" name="Critérios" sheetId="4" state="visible" r:id="rId4"/>
    <sheet xmlns:r="http://schemas.openxmlformats.org/officeDocument/2006/relationships" name="Condições" sheetId="5" state="visible" r:id="rId5"/>
    <sheet xmlns:r="http://schemas.openxmlformats.org/officeDocument/2006/relationships" name="Agências" sheetId="6" state="visible" r:id="rId6"/>
    <sheet xmlns:r="http://schemas.openxmlformats.org/officeDocument/2006/relationships" name="Roteiro" sheetId="7" state="visible" r:id="rId7"/>
    <sheet xmlns:r="http://schemas.openxmlformats.org/officeDocument/2006/relationships" name="Avaliação" sheetId="8" state="visible" r:id="rId8"/>
    <sheet xmlns:r="http://schemas.openxmlformats.org/officeDocument/2006/relationships" name="Cálculo" sheetId="9" state="visible" r:id="rId9"/>
    <sheet xmlns:r="http://schemas.openxmlformats.org/officeDocument/2006/relationships" name="Ranking" sheetId="10" state="visible" r:id="rId10"/>
    <sheet xmlns:r="http://schemas.openxmlformats.org/officeDocument/2006/relationships" name="Auditoria" sheetId="11" state="visible" r:id="rId11"/>
  </sheets>
  <definedNames>
    <definedName name="v_ini">'Parâmetros'!$B$2</definedName>
    <definedName name="v_ger">'Parâmetros'!$B$3</definedName>
    <definedName name="v_mc">'Parâmetros'!$B$4</definedName>
    <definedName name="_xlnm._FilterDatabase" localSheetId="7" hidden="1">'Avaliação'!$A$1:$N$877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  <font>
      <i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gov.br/anatel/pt-br" TargetMode="External" Id="rId1"/><Relationship Type="http://schemas.openxmlformats.org/officeDocument/2006/relationships/hyperlink" Target="https://www.gov.br/anvisa/pt-br" TargetMode="External" Id="rId2"/><Relationship Type="http://schemas.openxmlformats.org/officeDocument/2006/relationships/hyperlink" Target="https://www.gov.br/aneel/pt-br" TargetMode="External" Id="rId3"/><Relationship Type="http://schemas.openxmlformats.org/officeDocument/2006/relationships/hyperlink" Target="https://www.gov.br/antt/pt-br" TargetMode="External" Id="rId4"/><Relationship Type="http://schemas.openxmlformats.org/officeDocument/2006/relationships/hyperlink" Target="https://www.gov.br/anac/pt-br" TargetMode="External" Id="rId5"/><Relationship Type="http://schemas.openxmlformats.org/officeDocument/2006/relationships/hyperlink" Target="https://www.gov.br/antaq/pt-br" TargetMode="External" Id="rId6"/><Relationship Type="http://schemas.openxmlformats.org/officeDocument/2006/relationships/hyperlink" Target="https://www.gov.br/anp/pt-br" TargetMode="External" Id="rId7"/><Relationship Type="http://schemas.openxmlformats.org/officeDocument/2006/relationships/hyperlink" Target="https://www.gov.br/ana/pt-br" TargetMode="External" Id="rId8"/><Relationship Type="http://schemas.openxmlformats.org/officeDocument/2006/relationships/hyperlink" Target="https://www.gov.br/ans/pt-br" TargetMode="External" Id="rId9"/><Relationship Type="http://schemas.openxmlformats.org/officeDocument/2006/relationships/hyperlink" Target="https://www.gov.br/anm/pt-br" TargetMode="External" Id="rId10"/><Relationship Type="http://schemas.openxmlformats.org/officeDocument/2006/relationships/hyperlink" Target="https://www.gov.br/ancine/pt-br" TargetMode="External" Id="rId11"/><Relationship Type="http://schemas.openxmlformats.org/officeDocument/2006/relationships/hyperlink" Target="https://www.gov.br/anpd/pt-br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search?q=site%3Agov.br/anatel%20%22capacita%C3%A7%C3%A3o%20AIR%22" TargetMode="External" Id="rId1"/><Relationship Type="http://schemas.openxmlformats.org/officeDocument/2006/relationships/hyperlink" Target="https://www.google.com/search?q=site%3Agov.br/anatel%20%22manual%20de%20AIR%22" TargetMode="External" Id="rId2"/><Relationship Type="http://schemas.openxmlformats.org/officeDocument/2006/relationships/hyperlink" Target="https://www.google.com/search?q=site%3Agov.br/anatel%20%22relat%C3%B3rio%20de%20AIR%22" TargetMode="External" Id="rId3"/><Relationship Type="http://schemas.openxmlformats.org/officeDocument/2006/relationships/hyperlink" Target="https://www.google.com/search?q=site%3Agov.br/anatel%20%22consulta%20p%C3%BAblica%22" TargetMode="External" Id="rId4"/><Relationship Type="http://schemas.openxmlformats.org/officeDocument/2006/relationships/hyperlink" Target="https://www.google.com/search?q=site%3Agov.br/anatel%20%22acervo%20normativo%22" TargetMode="External" Id="rId5"/><Relationship Type="http://schemas.openxmlformats.org/officeDocument/2006/relationships/hyperlink" Target="https://www.google.com/search?q=site%3Agov.br/anatel%20%22agenda%20regulat%C3%B3ria%22" TargetMode="External" Id="rId6"/><Relationship Type="http://schemas.openxmlformats.org/officeDocument/2006/relationships/hyperlink" Target="https://www.google.com/search?q=site%3Agov.br/anatel%20%22processo%20normativo%22" TargetMode="External" Id="rId7"/><Relationship Type="http://schemas.openxmlformats.org/officeDocument/2006/relationships/hyperlink" Target="https://www.google.com/search?q=site%3Agov.br/anatel%20%22capacita%C3%A7%C3%A3o%20ARR%22" TargetMode="External" Id="rId8"/><Relationship Type="http://schemas.openxmlformats.org/officeDocument/2006/relationships/hyperlink" Target="https://www.google.com/search?q=site%3Agov.br/anatel%20%22agenda%20de%20ARR%22" TargetMode="External" Id="rId9"/><Relationship Type="http://schemas.openxmlformats.org/officeDocument/2006/relationships/hyperlink" Target="https://www.google.com/search?q=site%3Agov.br/anatel%20%22relat%C3%B3rio%20de%20ARR%22" TargetMode="External" Id="rId10"/><Relationship Type="http://schemas.openxmlformats.org/officeDocument/2006/relationships/hyperlink" Target="https://www.google.com/search?q=site%3Agov.br/anvisa%20%22capacita%C3%A7%C3%A3o%20AIR%22" TargetMode="External" Id="rId11"/><Relationship Type="http://schemas.openxmlformats.org/officeDocument/2006/relationships/hyperlink" Target="https://www.google.com/search?q=site%3Agov.br/anvisa%20%22manual%20de%20AIR%22" TargetMode="External" Id="rId12"/><Relationship Type="http://schemas.openxmlformats.org/officeDocument/2006/relationships/hyperlink" Target="https://www.google.com/search?q=site%3Agov.br/anvisa%20%22relat%C3%B3rio%20de%20AIR%22" TargetMode="External" Id="rId13"/><Relationship Type="http://schemas.openxmlformats.org/officeDocument/2006/relationships/hyperlink" Target="https://www.google.com/search?q=site%3Agov.br/anvisa%20%22consulta%20p%C3%BAblica%22" TargetMode="External" Id="rId14"/><Relationship Type="http://schemas.openxmlformats.org/officeDocument/2006/relationships/hyperlink" Target="https://www.google.com/search?q=site%3Agov.br/anvisa%20%22acervo%20normativo%22" TargetMode="External" Id="rId15"/><Relationship Type="http://schemas.openxmlformats.org/officeDocument/2006/relationships/hyperlink" Target="https://www.google.com/search?q=site%3Agov.br/anvisa%20%22agenda%20regulat%C3%B3ria%22" TargetMode="External" Id="rId16"/><Relationship Type="http://schemas.openxmlformats.org/officeDocument/2006/relationships/hyperlink" Target="https://www.google.com/search?q=site%3Agov.br/anvisa%20%22processo%20normativo%22" TargetMode="External" Id="rId17"/><Relationship Type="http://schemas.openxmlformats.org/officeDocument/2006/relationships/hyperlink" Target="https://www.google.com/search?q=site%3Agov.br/anvisa%20%22capacita%C3%A7%C3%A3o%20ARR%22" TargetMode="External" Id="rId18"/><Relationship Type="http://schemas.openxmlformats.org/officeDocument/2006/relationships/hyperlink" Target="https://www.google.com/search?q=site%3Agov.br/anvisa%20%22agenda%20de%20ARR%22" TargetMode="External" Id="rId19"/><Relationship Type="http://schemas.openxmlformats.org/officeDocument/2006/relationships/hyperlink" Target="https://www.google.com/search?q=site%3Agov.br/anvisa%20%22relat%C3%B3rio%20de%20ARR%22" TargetMode="External" Id="rId20"/><Relationship Type="http://schemas.openxmlformats.org/officeDocument/2006/relationships/hyperlink" Target="https://www.google.com/search?q=site%3Agov.br/aneel%20%22capacita%C3%A7%C3%A3o%20AIR%22" TargetMode="External" Id="rId21"/><Relationship Type="http://schemas.openxmlformats.org/officeDocument/2006/relationships/hyperlink" Target="https://www.google.com/search?q=site%3Agov.br/aneel%20%22manual%20de%20AIR%22" TargetMode="External" Id="rId22"/><Relationship Type="http://schemas.openxmlformats.org/officeDocument/2006/relationships/hyperlink" Target="https://www.google.com/search?q=site%3Agov.br/aneel%20%22relat%C3%B3rio%20de%20AIR%22" TargetMode="External" Id="rId23"/><Relationship Type="http://schemas.openxmlformats.org/officeDocument/2006/relationships/hyperlink" Target="https://www.google.com/search?q=site%3Agov.br/aneel%20%22consulta%20p%C3%BAblica%22" TargetMode="External" Id="rId24"/><Relationship Type="http://schemas.openxmlformats.org/officeDocument/2006/relationships/hyperlink" Target="https://www.google.com/search?q=site%3Agov.br/aneel%20%22acervo%20normativo%22" TargetMode="External" Id="rId25"/><Relationship Type="http://schemas.openxmlformats.org/officeDocument/2006/relationships/hyperlink" Target="https://www.google.com/search?q=site%3Agov.br/aneel%20%22agenda%20regulat%C3%B3ria%22" TargetMode="External" Id="rId26"/><Relationship Type="http://schemas.openxmlformats.org/officeDocument/2006/relationships/hyperlink" Target="https://www.google.com/search?q=site%3Agov.br/aneel%20%22processo%20normativo%22" TargetMode="External" Id="rId27"/><Relationship Type="http://schemas.openxmlformats.org/officeDocument/2006/relationships/hyperlink" Target="https://www.google.com/search?q=site%3Agov.br/aneel%20%22capacita%C3%A7%C3%A3o%20ARR%22" TargetMode="External" Id="rId28"/><Relationship Type="http://schemas.openxmlformats.org/officeDocument/2006/relationships/hyperlink" Target="https://www.google.com/search?q=site%3Agov.br/aneel%20%22agenda%20de%20ARR%22" TargetMode="External" Id="rId29"/><Relationship Type="http://schemas.openxmlformats.org/officeDocument/2006/relationships/hyperlink" Target="https://www.google.com/search?q=site%3Agov.br/aneel%20%22relat%C3%B3rio%20de%20ARR%22" TargetMode="External" Id="rId30"/><Relationship Type="http://schemas.openxmlformats.org/officeDocument/2006/relationships/hyperlink" Target="https://www.google.com/search?q=site%3Agov.br/antt%20%22capacita%C3%A7%C3%A3o%20AIR%22" TargetMode="External" Id="rId31"/><Relationship Type="http://schemas.openxmlformats.org/officeDocument/2006/relationships/hyperlink" Target="https://www.google.com/search?q=site%3Agov.br/antt%20%22manual%20de%20AIR%22" TargetMode="External" Id="rId32"/><Relationship Type="http://schemas.openxmlformats.org/officeDocument/2006/relationships/hyperlink" Target="https://www.google.com/search?q=site%3Agov.br/antt%20%22relat%C3%B3rio%20de%20AIR%22" TargetMode="External" Id="rId33"/><Relationship Type="http://schemas.openxmlformats.org/officeDocument/2006/relationships/hyperlink" Target="https://www.google.com/search?q=site%3Agov.br/antt%20%22consulta%20p%C3%BAblica%22" TargetMode="External" Id="rId34"/><Relationship Type="http://schemas.openxmlformats.org/officeDocument/2006/relationships/hyperlink" Target="https://www.google.com/search?q=site%3Agov.br/antt%20%22acervo%20normativo%22" TargetMode="External" Id="rId35"/><Relationship Type="http://schemas.openxmlformats.org/officeDocument/2006/relationships/hyperlink" Target="https://www.google.com/search?q=site%3Agov.br/antt%20%22agenda%20regulat%C3%B3ria%22" TargetMode="External" Id="rId36"/><Relationship Type="http://schemas.openxmlformats.org/officeDocument/2006/relationships/hyperlink" Target="https://www.google.com/search?q=site%3Agov.br/antt%20%22processo%20normativo%22" TargetMode="External" Id="rId37"/><Relationship Type="http://schemas.openxmlformats.org/officeDocument/2006/relationships/hyperlink" Target="https://www.google.com/search?q=site%3Agov.br/antt%20%22capacita%C3%A7%C3%A3o%20ARR%22" TargetMode="External" Id="rId38"/><Relationship Type="http://schemas.openxmlformats.org/officeDocument/2006/relationships/hyperlink" Target="https://www.google.com/search?q=site%3Agov.br/antt%20%22agenda%20de%20ARR%22" TargetMode="External" Id="rId39"/><Relationship Type="http://schemas.openxmlformats.org/officeDocument/2006/relationships/hyperlink" Target="https://www.google.com/search?q=site%3Agov.br/antt%20%22relat%C3%B3rio%20de%20ARR%22" TargetMode="External" Id="rId40"/><Relationship Type="http://schemas.openxmlformats.org/officeDocument/2006/relationships/hyperlink" Target="https://www.google.com/search?q=site%3Agov.br/anac%20%22capacita%C3%A7%C3%A3o%20AIR%22" TargetMode="External" Id="rId41"/><Relationship Type="http://schemas.openxmlformats.org/officeDocument/2006/relationships/hyperlink" Target="https://www.google.com/search?q=site%3Agov.br/anac%20%22manual%20de%20AIR%22" TargetMode="External" Id="rId42"/><Relationship Type="http://schemas.openxmlformats.org/officeDocument/2006/relationships/hyperlink" Target="https://www.google.com/search?q=site%3Agov.br/anac%20%22relat%C3%B3rio%20de%20AIR%22" TargetMode="External" Id="rId43"/><Relationship Type="http://schemas.openxmlformats.org/officeDocument/2006/relationships/hyperlink" Target="https://www.google.com/search?q=site%3Agov.br/anac%20%22consulta%20p%C3%BAblica%22" TargetMode="External" Id="rId44"/><Relationship Type="http://schemas.openxmlformats.org/officeDocument/2006/relationships/hyperlink" Target="https://www.google.com/search?q=site%3Agov.br/anac%20%22acervo%20normativo%22" TargetMode="External" Id="rId45"/><Relationship Type="http://schemas.openxmlformats.org/officeDocument/2006/relationships/hyperlink" Target="https://www.google.com/search?q=site%3Agov.br/anac%20%22agenda%20regulat%C3%B3ria%22" TargetMode="External" Id="rId46"/><Relationship Type="http://schemas.openxmlformats.org/officeDocument/2006/relationships/hyperlink" Target="https://www.google.com/search?q=site%3Agov.br/anac%20%22processo%20normativo%22" TargetMode="External" Id="rId47"/><Relationship Type="http://schemas.openxmlformats.org/officeDocument/2006/relationships/hyperlink" Target="https://www.google.com/search?q=site%3Agov.br/anac%20%22capacita%C3%A7%C3%A3o%20ARR%22" TargetMode="External" Id="rId48"/><Relationship Type="http://schemas.openxmlformats.org/officeDocument/2006/relationships/hyperlink" Target="https://www.google.com/search?q=site%3Agov.br/anac%20%22agenda%20de%20ARR%22" TargetMode="External" Id="rId49"/><Relationship Type="http://schemas.openxmlformats.org/officeDocument/2006/relationships/hyperlink" Target="https://www.google.com/search?q=site%3Agov.br/anac%20%22relat%C3%B3rio%20de%20ARR%22" TargetMode="External" Id="rId50"/><Relationship Type="http://schemas.openxmlformats.org/officeDocument/2006/relationships/hyperlink" Target="https://www.google.com/search?q=site%3Agov.br/antaq%20%22capacita%C3%A7%C3%A3o%20AIR%22" TargetMode="External" Id="rId51"/><Relationship Type="http://schemas.openxmlformats.org/officeDocument/2006/relationships/hyperlink" Target="https://www.google.com/search?q=site%3Agov.br/antaq%20%22manual%20de%20AIR%22" TargetMode="External" Id="rId52"/><Relationship Type="http://schemas.openxmlformats.org/officeDocument/2006/relationships/hyperlink" Target="https://www.google.com/search?q=site%3Agov.br/antaq%20%22relat%C3%B3rio%20de%20AIR%22" TargetMode="External" Id="rId53"/><Relationship Type="http://schemas.openxmlformats.org/officeDocument/2006/relationships/hyperlink" Target="https://www.google.com/search?q=site%3Agov.br/antaq%20%22consulta%20p%C3%BAblica%22" TargetMode="External" Id="rId54"/><Relationship Type="http://schemas.openxmlformats.org/officeDocument/2006/relationships/hyperlink" Target="https://www.google.com/search?q=site%3Agov.br/antaq%20%22acervo%20normativo%22" TargetMode="External" Id="rId55"/><Relationship Type="http://schemas.openxmlformats.org/officeDocument/2006/relationships/hyperlink" Target="https://www.google.com/search?q=site%3Agov.br/antaq%20%22agenda%20regulat%C3%B3ria%22" TargetMode="External" Id="rId56"/><Relationship Type="http://schemas.openxmlformats.org/officeDocument/2006/relationships/hyperlink" Target="https://www.google.com/search?q=site%3Agov.br/antaq%20%22processo%20normativo%22" TargetMode="External" Id="rId57"/><Relationship Type="http://schemas.openxmlformats.org/officeDocument/2006/relationships/hyperlink" Target="https://www.google.com/search?q=site%3Agov.br/antaq%20%22capacita%C3%A7%C3%A3o%20ARR%22" TargetMode="External" Id="rId58"/><Relationship Type="http://schemas.openxmlformats.org/officeDocument/2006/relationships/hyperlink" Target="https://www.google.com/search?q=site%3Agov.br/antaq%20%22agenda%20de%20ARR%22" TargetMode="External" Id="rId59"/><Relationship Type="http://schemas.openxmlformats.org/officeDocument/2006/relationships/hyperlink" Target="https://www.google.com/search?q=site%3Agov.br/antaq%20%22relat%C3%B3rio%20de%20ARR%22" TargetMode="External" Id="rId60"/><Relationship Type="http://schemas.openxmlformats.org/officeDocument/2006/relationships/hyperlink" Target="https://www.google.com/search?q=site%3Agov.br/anp%20%22capacita%C3%A7%C3%A3o%20AIR%22" TargetMode="External" Id="rId61"/><Relationship Type="http://schemas.openxmlformats.org/officeDocument/2006/relationships/hyperlink" Target="https://www.google.com/search?q=site%3Agov.br/anp%20%22manual%20de%20AIR%22" TargetMode="External" Id="rId62"/><Relationship Type="http://schemas.openxmlformats.org/officeDocument/2006/relationships/hyperlink" Target="https://www.google.com/search?q=site%3Agov.br/anp%20%22relat%C3%B3rio%20de%20AIR%22" TargetMode="External" Id="rId63"/><Relationship Type="http://schemas.openxmlformats.org/officeDocument/2006/relationships/hyperlink" Target="https://www.google.com/search?q=site%3Agov.br/anp%20%22consulta%20p%C3%BAblica%22" TargetMode="External" Id="rId64"/><Relationship Type="http://schemas.openxmlformats.org/officeDocument/2006/relationships/hyperlink" Target="https://www.google.com/search?q=site%3Agov.br/anp%20%22acervo%20normativo%22" TargetMode="External" Id="rId65"/><Relationship Type="http://schemas.openxmlformats.org/officeDocument/2006/relationships/hyperlink" Target="https://www.google.com/search?q=site%3Agov.br/anp%20%22agenda%20regulat%C3%B3ria%22" TargetMode="External" Id="rId66"/><Relationship Type="http://schemas.openxmlformats.org/officeDocument/2006/relationships/hyperlink" Target="https://www.google.com/search?q=site%3Agov.br/anp%20%22processo%20normativo%22" TargetMode="External" Id="rId67"/><Relationship Type="http://schemas.openxmlformats.org/officeDocument/2006/relationships/hyperlink" Target="https://www.google.com/search?q=site%3Agov.br/anp%20%22capacita%C3%A7%C3%A3o%20ARR%22" TargetMode="External" Id="rId68"/><Relationship Type="http://schemas.openxmlformats.org/officeDocument/2006/relationships/hyperlink" Target="https://www.google.com/search?q=site%3Agov.br/anp%20%22agenda%20de%20ARR%22" TargetMode="External" Id="rId69"/><Relationship Type="http://schemas.openxmlformats.org/officeDocument/2006/relationships/hyperlink" Target="https://www.google.com/search?q=site%3Agov.br/anp%20%22relat%C3%B3rio%20de%20ARR%22" TargetMode="External" Id="rId70"/><Relationship Type="http://schemas.openxmlformats.org/officeDocument/2006/relationships/hyperlink" Target="https://www.google.com/search?q=site%3Agov.br/ana%20%22capacita%C3%A7%C3%A3o%20AIR%22" TargetMode="External" Id="rId71"/><Relationship Type="http://schemas.openxmlformats.org/officeDocument/2006/relationships/hyperlink" Target="https://www.google.com/search?q=site%3Agov.br/ana%20%22manual%20de%20AIR%22" TargetMode="External" Id="rId72"/><Relationship Type="http://schemas.openxmlformats.org/officeDocument/2006/relationships/hyperlink" Target="https://www.google.com/search?q=site%3Agov.br/ana%20%22relat%C3%B3rio%20de%20AIR%22" TargetMode="External" Id="rId73"/><Relationship Type="http://schemas.openxmlformats.org/officeDocument/2006/relationships/hyperlink" Target="https://www.google.com/search?q=site%3Agov.br/ana%20%22consulta%20p%C3%BAblica%22" TargetMode="External" Id="rId74"/><Relationship Type="http://schemas.openxmlformats.org/officeDocument/2006/relationships/hyperlink" Target="https://www.google.com/search?q=site%3Agov.br/ana%20%22acervo%20normativo%22" TargetMode="External" Id="rId75"/><Relationship Type="http://schemas.openxmlformats.org/officeDocument/2006/relationships/hyperlink" Target="https://www.google.com/search?q=site%3Agov.br/ana%20%22agenda%20regulat%C3%B3ria%22" TargetMode="External" Id="rId76"/><Relationship Type="http://schemas.openxmlformats.org/officeDocument/2006/relationships/hyperlink" Target="https://www.google.com/search?q=site%3Agov.br/ana%20%22processo%20normativo%22" TargetMode="External" Id="rId77"/><Relationship Type="http://schemas.openxmlformats.org/officeDocument/2006/relationships/hyperlink" Target="https://www.google.com/search?q=site%3Agov.br/ana%20%22capacita%C3%A7%C3%A3o%20ARR%22" TargetMode="External" Id="rId78"/><Relationship Type="http://schemas.openxmlformats.org/officeDocument/2006/relationships/hyperlink" Target="https://www.google.com/search?q=site%3Agov.br/ana%20%22agenda%20de%20ARR%22" TargetMode="External" Id="rId79"/><Relationship Type="http://schemas.openxmlformats.org/officeDocument/2006/relationships/hyperlink" Target="https://www.google.com/search?q=site%3Agov.br/ana%20%22relat%C3%B3rio%20de%20ARR%22" TargetMode="External" Id="rId80"/><Relationship Type="http://schemas.openxmlformats.org/officeDocument/2006/relationships/hyperlink" Target="https://www.google.com/search?q=site%3Agov.br/ans%20%22capacita%C3%A7%C3%A3o%20AIR%22" TargetMode="External" Id="rId81"/><Relationship Type="http://schemas.openxmlformats.org/officeDocument/2006/relationships/hyperlink" Target="https://www.google.com/search?q=site%3Agov.br/ans%20%22manual%20de%20AIR%22" TargetMode="External" Id="rId82"/><Relationship Type="http://schemas.openxmlformats.org/officeDocument/2006/relationships/hyperlink" Target="https://www.google.com/search?q=site%3Agov.br/ans%20%22relat%C3%B3rio%20de%20AIR%22" TargetMode="External" Id="rId83"/><Relationship Type="http://schemas.openxmlformats.org/officeDocument/2006/relationships/hyperlink" Target="https://www.google.com/search?q=site%3Agov.br/ans%20%22consulta%20p%C3%BAblica%22" TargetMode="External" Id="rId84"/><Relationship Type="http://schemas.openxmlformats.org/officeDocument/2006/relationships/hyperlink" Target="https://www.google.com/search?q=site%3Agov.br/ans%20%22acervo%20normativo%22" TargetMode="External" Id="rId85"/><Relationship Type="http://schemas.openxmlformats.org/officeDocument/2006/relationships/hyperlink" Target="https://www.google.com/search?q=site%3Agov.br/ans%20%22agenda%20regulat%C3%B3ria%22" TargetMode="External" Id="rId86"/><Relationship Type="http://schemas.openxmlformats.org/officeDocument/2006/relationships/hyperlink" Target="https://www.google.com/search?q=site%3Agov.br/ans%20%22processo%20normativo%22" TargetMode="External" Id="rId87"/><Relationship Type="http://schemas.openxmlformats.org/officeDocument/2006/relationships/hyperlink" Target="https://www.google.com/search?q=site%3Agov.br/ans%20%22capacita%C3%A7%C3%A3o%20ARR%22" TargetMode="External" Id="rId88"/><Relationship Type="http://schemas.openxmlformats.org/officeDocument/2006/relationships/hyperlink" Target="https://www.google.com/search?q=site%3Agov.br/ans%20%22agenda%20de%20ARR%22" TargetMode="External" Id="rId89"/><Relationship Type="http://schemas.openxmlformats.org/officeDocument/2006/relationships/hyperlink" Target="https://www.google.com/search?q=site%3Agov.br/ans%20%22relat%C3%B3rio%20de%20ARR%22" TargetMode="External" Id="rId90"/><Relationship Type="http://schemas.openxmlformats.org/officeDocument/2006/relationships/hyperlink" Target="https://www.google.com/search?q=site%3Agov.br/anm%20%22capacita%C3%A7%C3%A3o%20AIR%22" TargetMode="External" Id="rId91"/><Relationship Type="http://schemas.openxmlformats.org/officeDocument/2006/relationships/hyperlink" Target="https://www.google.com/search?q=site%3Agov.br/anm%20%22manual%20de%20AIR%22" TargetMode="External" Id="rId92"/><Relationship Type="http://schemas.openxmlformats.org/officeDocument/2006/relationships/hyperlink" Target="https://www.google.com/search?q=site%3Agov.br/anm%20%22relat%C3%B3rio%20de%20AIR%22" TargetMode="External" Id="rId93"/><Relationship Type="http://schemas.openxmlformats.org/officeDocument/2006/relationships/hyperlink" Target="https://www.google.com/search?q=site%3Agov.br/anm%20%22consulta%20p%C3%BAblica%22" TargetMode="External" Id="rId94"/><Relationship Type="http://schemas.openxmlformats.org/officeDocument/2006/relationships/hyperlink" Target="https://www.google.com/search?q=site%3Agov.br/anm%20%22acervo%20normativo%22" TargetMode="External" Id="rId95"/><Relationship Type="http://schemas.openxmlformats.org/officeDocument/2006/relationships/hyperlink" Target="https://www.google.com/search?q=site%3Agov.br/anm%20%22agenda%20regulat%C3%B3ria%22" TargetMode="External" Id="rId96"/><Relationship Type="http://schemas.openxmlformats.org/officeDocument/2006/relationships/hyperlink" Target="https://www.google.com/search?q=site%3Agov.br/anm%20%22processo%20normativo%22" TargetMode="External" Id="rId97"/><Relationship Type="http://schemas.openxmlformats.org/officeDocument/2006/relationships/hyperlink" Target="https://www.google.com/search?q=site%3Agov.br/anm%20%22capacita%C3%A7%C3%A3o%20ARR%22" TargetMode="External" Id="rId98"/><Relationship Type="http://schemas.openxmlformats.org/officeDocument/2006/relationships/hyperlink" Target="https://www.google.com/search?q=site%3Agov.br/anm%20%22agenda%20de%20ARR%22" TargetMode="External" Id="rId99"/><Relationship Type="http://schemas.openxmlformats.org/officeDocument/2006/relationships/hyperlink" Target="https://www.google.com/search?q=site%3Agov.br/anm%20%22relat%C3%B3rio%20de%20ARR%22" TargetMode="External" Id="rId100"/><Relationship Type="http://schemas.openxmlformats.org/officeDocument/2006/relationships/hyperlink" Target="https://www.google.com/search?q=site%3Agov.br/ancine%20%22capacita%C3%A7%C3%A3o%20AIR%22" TargetMode="External" Id="rId101"/><Relationship Type="http://schemas.openxmlformats.org/officeDocument/2006/relationships/hyperlink" Target="https://www.google.com/search?q=site%3Agov.br/ancine%20%22manual%20de%20AIR%22" TargetMode="External" Id="rId102"/><Relationship Type="http://schemas.openxmlformats.org/officeDocument/2006/relationships/hyperlink" Target="https://www.google.com/search?q=site%3Agov.br/ancine%20%22relat%C3%B3rio%20de%20AIR%22" TargetMode="External" Id="rId103"/><Relationship Type="http://schemas.openxmlformats.org/officeDocument/2006/relationships/hyperlink" Target="https://www.google.com/search?q=site%3Agov.br/ancine%20%22consulta%20p%C3%BAblica%22" TargetMode="External" Id="rId104"/><Relationship Type="http://schemas.openxmlformats.org/officeDocument/2006/relationships/hyperlink" Target="https://www.google.com/search?q=site%3Agov.br/ancine%20%22acervo%20normativo%22" TargetMode="External" Id="rId105"/><Relationship Type="http://schemas.openxmlformats.org/officeDocument/2006/relationships/hyperlink" Target="https://www.google.com/search?q=site%3Agov.br/ancine%20%22agenda%20regulat%C3%B3ria%22" TargetMode="External" Id="rId106"/><Relationship Type="http://schemas.openxmlformats.org/officeDocument/2006/relationships/hyperlink" Target="https://www.google.com/search?q=site%3Agov.br/ancine%20%22processo%20normativo%22" TargetMode="External" Id="rId107"/><Relationship Type="http://schemas.openxmlformats.org/officeDocument/2006/relationships/hyperlink" Target="https://www.google.com/search?q=site%3Agov.br/ancine%20%22capacita%C3%A7%C3%A3o%20ARR%22" TargetMode="External" Id="rId108"/><Relationship Type="http://schemas.openxmlformats.org/officeDocument/2006/relationships/hyperlink" Target="https://www.google.com/search?q=site%3Agov.br/ancine%20%22agenda%20de%20ARR%22" TargetMode="External" Id="rId109"/><Relationship Type="http://schemas.openxmlformats.org/officeDocument/2006/relationships/hyperlink" Target="https://www.google.com/search?q=site%3Agov.br/ancine%20%22relat%C3%B3rio%20de%20ARR%22" TargetMode="External" Id="rId110"/><Relationship Type="http://schemas.openxmlformats.org/officeDocument/2006/relationships/hyperlink" Target="https://www.google.com/search?q=site%3Agov.br/anpd%20%22capacita%C3%A7%C3%A3o%20AIR%22" TargetMode="External" Id="rId111"/><Relationship Type="http://schemas.openxmlformats.org/officeDocument/2006/relationships/hyperlink" Target="https://www.google.com/search?q=site%3Agov.br/anpd%20%22manual%20de%20AIR%22" TargetMode="External" Id="rId112"/><Relationship Type="http://schemas.openxmlformats.org/officeDocument/2006/relationships/hyperlink" Target="https://www.google.com/search?q=site%3Agov.br/anpd%20%22relat%C3%B3rio%20de%20AIR%22" TargetMode="External" Id="rId113"/><Relationship Type="http://schemas.openxmlformats.org/officeDocument/2006/relationships/hyperlink" Target="https://www.google.com/search?q=site%3Agov.br/anpd%20%22consulta%20p%C3%BAblica%22" TargetMode="External" Id="rId114"/><Relationship Type="http://schemas.openxmlformats.org/officeDocument/2006/relationships/hyperlink" Target="https://www.google.com/search?q=site%3Agov.br/anpd%20%22acervo%20normativo%22" TargetMode="External" Id="rId115"/><Relationship Type="http://schemas.openxmlformats.org/officeDocument/2006/relationships/hyperlink" Target="https://www.google.com/search?q=site%3Agov.br/anpd%20%22agenda%20regulat%C3%B3ria%22" TargetMode="External" Id="rId116"/><Relationship Type="http://schemas.openxmlformats.org/officeDocument/2006/relationships/hyperlink" Target="https://www.google.com/search?q=site%3Agov.br/anpd%20%22processo%20normativo%22" TargetMode="External" Id="rId117"/><Relationship Type="http://schemas.openxmlformats.org/officeDocument/2006/relationships/hyperlink" Target="https://www.google.com/search?q=site%3Agov.br/anpd%20%22capacita%C3%A7%C3%A3o%20ARR%22" TargetMode="External" Id="rId118"/><Relationship Type="http://schemas.openxmlformats.org/officeDocument/2006/relationships/hyperlink" Target="https://www.google.com/search?q=site%3Agov.br/anpd%20%22agenda%20de%20ARR%22" TargetMode="External" Id="rId119"/><Relationship Type="http://schemas.openxmlformats.org/officeDocument/2006/relationships/hyperlink" Target="https://www.google.com/search?q=site%3Agov.br/anpd%20%22relat%C3%B3rio%20de%20ARR%22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zoomScale="10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IMQN — Qualidade Regulatória das 12 agências federais · workbook de trabalho (rev2022)</t>
        </is>
      </c>
    </row>
    <row r="2">
      <c r="A2" s="2" t="inlineStr">
        <is>
          <t>Base: planilha "Matriz de Avaliação da Maturidade da Qualidade Normativa" (programa INFRA Competitividade, rev2022). Estrutura reescrita aqui de forma própria.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"Avaliação": uma linha por agência × condição (12 × 73 = 876). Preencha só as células amarelas: Resposta (SIM / NÃO / ?), URL da evidência, data da consulta, status.</t>
        </is>
      </c>
    </row>
    <row r="6">
      <c r="A6" s="2" t="inlineStr">
        <is>
          <t>2. Use a aba "Roteiro" para abrir uma busca direcionada ao portal da agência, por critério. O portal raiz e a lei de criação estão em "Agências".</t>
        </is>
      </c>
    </row>
    <row r="7">
      <c r="A7" s="2" t="inlineStr">
        <is>
          <t>3. A aba "Cálculo" aplica a regra de nível e a aba "Ranking" soma tudo. Nada precisa ser digitado nelas.</t>
        </is>
      </c>
    </row>
    <row r="8">
      <c r="A8" s="2" t="inlineStr"/>
    </row>
    <row r="9">
      <c r="A9" s="3" t="inlineStr">
        <is>
          <t>REGRA DE NÍVEL (decisão metodológica deste workbook — a planilha original não a define)</t>
        </is>
      </c>
    </row>
    <row r="10">
      <c r="A10" s="2" t="inlineStr">
        <is>
          <t>• Níveis cumulativos: Inexistente (0) → Inicial (0,35) → Gerenciado (0,70) → Melhoria Contínua (1,00). Valores editáveis em "Parâmetros".</t>
        </is>
      </c>
    </row>
    <row r="11">
      <c r="A11" s="2" t="inlineStr">
        <is>
          <t>• Para cada critério: o nível-base é o mais alto cujas condições estão TODAS atendidas (e todas as dos níveis abaixo). A fração do nível seguinte é a proporção das condições dele atendidas.</t>
        </is>
      </c>
    </row>
    <row r="12">
      <c r="A12" s="2" t="inlineStr">
        <is>
          <t>• Exemplo: Inicial completo + 2 de 4 condições do Gerenciado → 0,35 + 0,35 × 0,5 = 0,525. Condição de nível acima de uma lacuna não conta (maturidade não pula degrau).</t>
        </is>
      </c>
    </row>
    <row r="13">
      <c r="A13" s="2" t="inlineStr">
        <is>
          <t>• Nota da dimensão = Σ (peso do critério na dimensão × classificação) × peso da dimensão. IMQN = Σ das 6 dimensões (0–100). Pesos: AIR 25 · Estoque 20 · Participação Social 15 · Agenda 15 · ARR 15 · Processo 10.</t>
        </is>
      </c>
    </row>
    <row r="14">
      <c r="A14" s="2" t="inlineStr"/>
    </row>
    <row r="15">
      <c r="A15" s="3" t="inlineStr">
        <is>
          <t>DUAS NOTAS, NUNCA UMA SÓ</t>
        </is>
      </c>
    </row>
    <row r="16">
      <c r="A16" s="2" t="inlineStr">
        <is>
          <t>• ESTIMADO: conta toda resposta SIM. • COMPROVADO: conta só SIM com evidência (URL) E status "validado". Nenhuma coleta automática nasce validada.</t>
        </is>
      </c>
    </row>
    <row r="17">
      <c r="A17" s="2" t="inlineStr">
        <is>
          <t>• Teto verificável por fonte pública: aba "Condições" mostra quais condições só dado interno comprova (ex.: Capacitação é 100% interna). Ver "Ranking" para o teto.</t>
        </is>
      </c>
    </row>
    <row r="18">
      <c r="A18" s="2" t="inlineStr"/>
    </row>
    <row r="19">
      <c r="A19" s="3" t="inlineStr">
        <is>
          <t>GUARDRAILS</t>
        </is>
      </c>
    </row>
    <row r="20">
      <c r="A20" s="2" t="inlineStr">
        <is>
          <t>• Avalia a INSTITUIÇÃO, nunca pessoas. Não registre CPF, telefone/e-mail pessoal, nomes de servidores ou juízo reputacional individual. Capacitação entra só como percentual agregado.</t>
        </is>
      </c>
    </row>
    <row r="21">
      <c r="A21" s="2" t="inlineStr">
        <is>
          <t>• Resposta em branco = "sem avaliação", NÃO é "não atende". Sem evidência, não se atribui nota.</t>
        </is>
      </c>
    </row>
    <row r="22">
      <c r="A22" s="2" t="inlineStr">
        <is>
          <t>• Classificação pública/interna, perguntas e termos de busca são PROPOSTA deste workbook; base legal marcada "a conferir" até revisão jurídica.</t>
        </is>
      </c>
    </row>
    <row r="23">
      <c r="A23" s="2" t="inlineStr"/>
    </row>
    <row r="24">
      <c r="A24" s="2" t="inlineStr">
        <is>
          <t>ABAS: Parâmetros · Dimensões · Critérios · Condições · Agências · Roteiro · Avaliação · Cálculo · Ranking · Auditoria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</cols>
  <sheetData>
    <row r="1">
      <c r="A1" s="4" t="inlineStr">
        <is>
          <t>Nível</t>
        </is>
      </c>
      <c r="B1" s="4" t="inlineStr">
        <is>
          <t>Valor</t>
        </is>
      </c>
      <c r="C1" s="4" t="inlineStr">
        <is>
          <t>Nome</t>
        </is>
      </c>
    </row>
    <row r="2">
      <c r="A2" s="5" t="inlineStr">
        <is>
          <t>Inicial</t>
        </is>
      </c>
      <c r="B2" s="6" t="n">
        <v>0.35</v>
      </c>
      <c r="C2" s="5" t="inlineStr">
        <is>
          <t>v_ini</t>
        </is>
      </c>
    </row>
    <row r="3">
      <c r="A3" s="5" t="inlineStr">
        <is>
          <t>Gerenciado</t>
        </is>
      </c>
      <c r="B3" s="6" t="n">
        <v>0.7</v>
      </c>
      <c r="C3" s="5" t="inlineStr">
        <is>
          <t>v_ger</t>
        </is>
      </c>
    </row>
    <row r="4">
      <c r="A4" s="5" t="inlineStr">
        <is>
          <t>Melhoria Contínua</t>
        </is>
      </c>
      <c r="B4" s="6" t="n">
        <v>1</v>
      </c>
      <c r="C4" s="5" t="inlineStr">
        <is>
          <t>v_mc</t>
        </is>
      </c>
    </row>
    <row r="6">
      <c r="A6" s="5" t="inlineStr">
        <is>
          <t>Inexistente = 0 (fixo). Peso dos critérios e dimensões nas abas Critérios/Dimensões.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60" customWidth="1" min="4" max="4"/>
    <col width="50" customWidth="1" min="5" max="5"/>
    <col width="16" customWidth="1" min="6" max="6"/>
  </cols>
  <sheetData>
    <row r="1">
      <c r="A1" s="4" t="inlineStr">
        <is>
          <t>ID</t>
        </is>
      </c>
      <c r="B1" s="4" t="inlineStr">
        <is>
          <t>Dimensão</t>
        </is>
      </c>
      <c r="C1" s="4" t="inlineStr">
        <is>
          <t>Peso (pts)</t>
        </is>
      </c>
      <c r="D1" s="4" t="inlineStr">
        <is>
          <t>O que mede</t>
        </is>
      </c>
      <c r="E1" s="4" t="inlineStr">
        <is>
          <t>Base legal</t>
        </is>
      </c>
      <c r="F1" s="4" t="inlineStr">
        <is>
          <t>Base legal conferida?</t>
        </is>
      </c>
    </row>
    <row r="2">
      <c r="A2" s="5" t="n">
        <v>1</v>
      </c>
      <c r="B2" s="5" t="inlineStr">
        <is>
          <t>Análise de Impacto Regulatório (AIR)</t>
        </is>
      </c>
      <c r="C2" s="5" t="n">
        <v>25</v>
      </c>
      <c r="D2" s="5" t="inlineStr">
        <is>
          <t>A agência avalia impacto e alternativas antes de criar norma?</t>
        </is>
      </c>
      <c r="E2" s="5" t="inlineStr">
        <is>
          <t>Lei 13.848/2019, art. 6º; Lei 13.874/2019, art. 5º; Decreto 10.411/2020</t>
        </is>
      </c>
      <c r="F2" s="6" t="inlineStr">
        <is>
          <t>Não</t>
        </is>
      </c>
    </row>
    <row r="3">
      <c r="A3" s="5" t="n">
        <v>2</v>
      </c>
      <c r="B3" s="5" t="inlineStr">
        <is>
          <t>Participação Social</t>
        </is>
      </c>
      <c r="C3" s="5" t="n">
        <v>15</v>
      </c>
      <c r="D3" s="5" t="inlineStr">
        <is>
          <t>Consultas e audiências, com devolutiva às contribuições?</t>
        </is>
      </c>
      <c r="E3" s="5" t="inlineStr">
        <is>
          <t>Lei 13.848/2019, arts. 9º a 11; Lei 13.874/2019; Decreto 10.411/2020</t>
        </is>
      </c>
      <c r="F3" s="6" t="inlineStr">
        <is>
          <t>Não</t>
        </is>
      </c>
    </row>
    <row r="4">
      <c r="A4" s="5" t="n">
        <v>3</v>
      </c>
      <c r="B4" s="5" t="inlineStr">
        <is>
          <t>Gestão de Estoque Regulatório</t>
        </is>
      </c>
      <c r="C4" s="5" t="n">
        <v>20</v>
      </c>
      <c r="D4" s="5" t="inlineStr">
        <is>
          <t>Acervo normativo levantado, indexado e consolidado?</t>
        </is>
      </c>
      <c r="E4" s="5" t="inlineStr">
        <is>
          <t>Decreto 10.139/2019, art. 19; Lei 13.874/2019</t>
        </is>
      </c>
      <c r="F4" s="6" t="inlineStr">
        <is>
          <t>Não</t>
        </is>
      </c>
    </row>
    <row r="5">
      <c r="A5" s="5" t="n">
        <v>4</v>
      </c>
      <c r="B5" s="5" t="inlineStr">
        <is>
          <t>Agenda Regulatória</t>
        </is>
      </c>
      <c r="C5" s="5" t="n">
        <v>15</v>
      </c>
      <c r="D5" s="5" t="inlineStr">
        <is>
          <t>Planejamento público do que será regulado — e cumprido?</t>
        </is>
      </c>
      <c r="E5" s="5" t="inlineStr">
        <is>
          <t>Lei 13.848/2019, art. 21</t>
        </is>
      </c>
      <c r="F5" s="6" t="inlineStr">
        <is>
          <t>Não</t>
        </is>
      </c>
    </row>
    <row r="6">
      <c r="A6" s="5" t="n">
        <v>5</v>
      </c>
      <c r="B6" s="5" t="inlineStr">
        <is>
          <t>Gestão do Processo Normativo</t>
        </is>
      </c>
      <c r="C6" s="5" t="n">
        <v>10</v>
      </c>
      <c r="D6" s="5" t="inlineStr">
        <is>
          <t>Fluxo de criação de normas padronizado e monitorado?</t>
        </is>
      </c>
      <c r="E6" s="5" t="inlineStr">
        <is>
          <t>Lei 13.848/2019; Decreto 10.411/2020</t>
        </is>
      </c>
      <c r="F6" s="6" t="inlineStr">
        <is>
          <t>Não</t>
        </is>
      </c>
    </row>
    <row r="7">
      <c r="A7" s="5" t="n">
        <v>6</v>
      </c>
      <c r="B7" s="5" t="inlineStr">
        <is>
          <t>Análise de Resultado Regulatório (ARR)</t>
        </is>
      </c>
      <c r="C7" s="5" t="n">
        <v>15</v>
      </c>
      <c r="D7" s="5" t="inlineStr">
        <is>
          <t>Normas em vigor são reavaliadas depois de aplicadas?</t>
        </is>
      </c>
      <c r="E7" s="5" t="inlineStr">
        <is>
          <t>Decreto 10.411/2020 (ARR) — artigo a conferir</t>
        </is>
      </c>
      <c r="F7" s="6" t="inlineStr">
        <is>
          <t>Não</t>
        </is>
      </c>
    </row>
    <row r="8">
      <c r="B8" s="7" t="inlineStr">
        <is>
          <t>TOTAL</t>
        </is>
      </c>
      <c r="C8" s="7">
        <f>SUM(C2:C7)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12" customWidth="1" min="4" max="4"/>
    <col width="10" customWidth="1" min="5" max="5"/>
    <col width="12" customWidth="1" min="6" max="6"/>
    <col width="12" customWidth="1" min="7" max="7"/>
    <col width="8" customWidth="1" min="8" max="8"/>
    <col width="48" customWidth="1" min="9" max="9"/>
    <col width="52" customWidth="1" min="10" max="10"/>
  </cols>
  <sheetData>
    <row r="1">
      <c r="A1" s="4" t="inlineStr">
        <is>
          <t>Código</t>
        </is>
      </c>
      <c r="B1" s="4" t="inlineStr">
        <is>
          <t>Critério</t>
        </is>
      </c>
      <c r="C1" s="4" t="inlineStr">
        <is>
          <t>Dim.</t>
        </is>
      </c>
      <c r="D1" s="4" t="inlineStr">
        <is>
          <t>Peso na dimensão</t>
        </is>
      </c>
      <c r="E1" s="4" t="inlineStr">
        <is>
          <t>Condições Inicial</t>
        </is>
      </c>
      <c r="F1" s="4" t="inlineStr">
        <is>
          <t>Condições Gerenciado</t>
        </is>
      </c>
      <c r="G1" s="4" t="inlineStr">
        <is>
          <t>Condições Melh. Contínua</t>
        </is>
      </c>
      <c r="H1" s="4" t="inlineStr">
        <is>
          <t>Total</t>
        </is>
      </c>
      <c r="I1" s="4" t="inlineStr">
        <is>
          <t>Termos de busca</t>
        </is>
      </c>
      <c r="J1" s="4" t="inlineStr">
        <is>
          <t>Onde procurar</t>
        </is>
      </c>
    </row>
    <row r="2">
      <c r="A2" s="5" t="inlineStr">
        <is>
          <t>AIR_CAP</t>
        </is>
      </c>
      <c r="B2" s="5" t="inlineStr">
        <is>
          <t>Capacitação em AIR</t>
        </is>
      </c>
      <c r="C2" s="5" t="n">
        <v>1</v>
      </c>
      <c r="D2" s="5" t="n">
        <v>0.3</v>
      </c>
      <c r="E2" s="5">
        <f>COUNTIFS(Condições!$C$2:$C$74,$A2,Condições!$E$2:$E$74,"Inicial")</f>
        <v/>
      </c>
      <c r="F2" s="5">
        <f>COUNTIFS(Condições!$C$2:$C$74,$A2,Condições!$E$2:$E$74,"Gerenciado")</f>
        <v/>
      </c>
      <c r="G2" s="5">
        <f>COUNTIFS(Condições!$C$2:$C$74,$A2,Condições!$E$2:$E$74,"Melhoria Contínua")</f>
        <v/>
      </c>
      <c r="H2" s="5">
        <f>SUM(E2:G2)</f>
        <v/>
      </c>
      <c r="I2" s="5" t="inlineStr">
        <is>
          <t>capacitação AIR; curso análise de impacto regulatório; plano de capacitação</t>
        </is>
      </c>
      <c r="J2" s="5" t="inlineStr">
        <is>
          <t>Dado interno: relatório de gestão, plano de desenvolvimento de pessoas, listas de certificados (agregadas, sem identificar servidores)</t>
        </is>
      </c>
    </row>
    <row r="3">
      <c r="A3" s="5" t="inlineStr">
        <is>
          <t>AIR_MET</t>
        </is>
      </c>
      <c r="B3" s="5" t="inlineStr">
        <is>
          <t>Metodologia de AIR</t>
        </is>
      </c>
      <c r="C3" s="5" t="n">
        <v>1</v>
      </c>
      <c r="D3" s="5" t="n">
        <v>0.35</v>
      </c>
      <c r="E3" s="5">
        <f>COUNTIFS(Condições!$C$2:$C$74,$A3,Condições!$E$2:$E$74,"Inicial")</f>
        <v/>
      </c>
      <c r="F3" s="5">
        <f>COUNTIFS(Condições!$C$2:$C$74,$A3,Condições!$E$2:$E$74,"Gerenciado")</f>
        <v/>
      </c>
      <c r="G3" s="5">
        <f>COUNTIFS(Condições!$C$2:$C$74,$A3,Condições!$E$2:$E$74,"Melhoria Contínua")</f>
        <v/>
      </c>
      <c r="H3" s="5">
        <f>SUM(E3:G3)</f>
        <v/>
      </c>
      <c r="I3" s="5" t="inlineStr">
        <is>
          <t>manual de AIR; análise de impacto regulatório metodologia; portaria AIR</t>
        </is>
      </c>
      <c r="J3" s="5" t="inlineStr">
        <is>
          <t>Portal &gt; Institucional / Acesso à informação &gt; legislação interna; Boletim de Serviço</t>
        </is>
      </c>
    </row>
    <row r="4">
      <c r="A4" s="5" t="inlineStr">
        <is>
          <t>AIR_PRO</t>
        </is>
      </c>
      <c r="B4" s="5" t="inlineStr">
        <is>
          <t>Processo de AIR</t>
        </is>
      </c>
      <c r="C4" s="5" t="n">
        <v>1</v>
      </c>
      <c r="D4" s="5" t="n">
        <v>0.35</v>
      </c>
      <c r="E4" s="5">
        <f>COUNTIFS(Condições!$C$2:$C$74,$A4,Condições!$E$2:$E$74,"Inicial")</f>
        <v/>
      </c>
      <c r="F4" s="5">
        <f>COUNTIFS(Condições!$C$2:$C$74,$A4,Condições!$E$2:$E$74,"Gerenciado")</f>
        <v/>
      </c>
      <c r="G4" s="5">
        <f>COUNTIFS(Condições!$C$2:$C$74,$A4,Condições!$E$2:$E$74,"Melhoria Contínua")</f>
        <v/>
      </c>
      <c r="H4" s="5">
        <f>SUM(E4:G4)</f>
        <v/>
      </c>
      <c r="I4" s="5" t="inlineStr">
        <is>
          <t>relatório de AIR; AIR dispensa; nota técnica AIR</t>
        </is>
      </c>
      <c r="J4" s="5" t="inlineStr">
        <is>
          <t>Portal &gt; Regulação / Participação social &gt; consultas públicas (anexos de AIR)</t>
        </is>
      </c>
    </row>
    <row r="5">
      <c r="A5" s="5" t="inlineStr">
        <is>
          <t>PS</t>
        </is>
      </c>
      <c r="B5" s="5" t="inlineStr">
        <is>
          <t>Participação Social</t>
        </is>
      </c>
      <c r="C5" s="5" t="n">
        <v>2</v>
      </c>
      <c r="D5" s="5" t="n">
        <v>1</v>
      </c>
      <c r="E5" s="5">
        <f>COUNTIFS(Condições!$C$2:$C$74,$A5,Condições!$E$2:$E$74,"Inicial")</f>
        <v/>
      </c>
      <c r="F5" s="5">
        <f>COUNTIFS(Condições!$C$2:$C$74,$A5,Condições!$E$2:$E$74,"Gerenciado")</f>
        <v/>
      </c>
      <c r="G5" s="5">
        <f>COUNTIFS(Condições!$C$2:$C$74,$A5,Condições!$E$2:$E$74,"Melhoria Contínua")</f>
        <v/>
      </c>
      <c r="H5" s="5">
        <f>SUM(E5:G5)</f>
        <v/>
      </c>
      <c r="I5" s="5" t="inlineStr">
        <is>
          <t>consulta pública; audiência pública; tomada de subsídios; Participa + Brasil; relatório ouvidoria; consumidor.gov.br</t>
        </is>
      </c>
      <c r="J5" s="5" t="inlineStr">
        <is>
          <t>Portal &gt; Participação social; plataforma Participa + Brasil; relatório anual da Ouvidoria</t>
        </is>
      </c>
    </row>
    <row r="6">
      <c r="A6" s="5" t="inlineStr">
        <is>
          <t>EST</t>
        </is>
      </c>
      <c r="B6" s="5" t="inlineStr">
        <is>
          <t>Gestão de Estoque Regulatório</t>
        </is>
      </c>
      <c r="C6" s="5" t="n">
        <v>3</v>
      </c>
      <c r="D6" s="5" t="n">
        <v>1</v>
      </c>
      <c r="E6" s="5">
        <f>COUNTIFS(Condições!$C$2:$C$74,$A6,Condições!$E$2:$E$74,"Inicial")</f>
        <v/>
      </c>
      <c r="F6" s="5">
        <f>COUNTIFS(Condições!$C$2:$C$74,$A6,Condições!$E$2:$E$74,"Gerenciado")</f>
        <v/>
      </c>
      <c r="G6" s="5">
        <f>COUNTIFS(Condições!$C$2:$C$74,$A6,Condições!$E$2:$E$74,"Melhoria Contínua")</f>
        <v/>
      </c>
      <c r="H6" s="5">
        <f>SUM(E6:G6)</f>
        <v/>
      </c>
      <c r="I6" s="5" t="inlineStr">
        <is>
          <t>acervo normativo; consolidação normativa; estoque regulatório; fardo regulatório; revisão de normas</t>
        </is>
      </c>
      <c r="J6" s="5" t="inlineStr">
        <is>
          <t>Portal &gt; Legislação / Normas; relatórios de revisão do estoque</t>
        </is>
      </c>
    </row>
    <row r="7">
      <c r="A7" s="5" t="inlineStr">
        <is>
          <t>AGE</t>
        </is>
      </c>
      <c r="B7" s="5" t="inlineStr">
        <is>
          <t>Agenda Regulatória</t>
        </is>
      </c>
      <c r="C7" s="5" t="n">
        <v>4</v>
      </c>
      <c r="D7" s="5" t="n">
        <v>1</v>
      </c>
      <c r="E7" s="5">
        <f>COUNTIFS(Condições!$C$2:$C$74,$A7,Condições!$E$2:$E$74,"Inicial")</f>
        <v/>
      </c>
      <c r="F7" s="5">
        <f>COUNTIFS(Condições!$C$2:$C$74,$A7,Condições!$E$2:$E$74,"Gerenciado")</f>
        <v/>
      </c>
      <c r="G7" s="5">
        <f>COUNTIFS(Condições!$C$2:$C$74,$A7,Condições!$E$2:$E$74,"Melhoria Contínua")</f>
        <v/>
      </c>
      <c r="H7" s="5">
        <f>SUM(E7:G7)</f>
        <v/>
      </c>
      <c r="I7" s="5" t="inlineStr">
        <is>
          <t>agenda regulatória; relatório de acompanhamento da agenda; ciclo bienal</t>
        </is>
      </c>
      <c r="J7" s="5" t="inlineStr">
        <is>
          <t>Portal &gt; Regulação &gt; Agenda regulatória; relatório anual</t>
        </is>
      </c>
    </row>
    <row r="8">
      <c r="A8" s="5" t="inlineStr">
        <is>
          <t>PRO</t>
        </is>
      </c>
      <c r="B8" s="5" t="inlineStr">
        <is>
          <t>Gestão do Processo Normativo</t>
        </is>
      </c>
      <c r="C8" s="5" t="n">
        <v>5</v>
      </c>
      <c r="D8" s="5" t="n">
        <v>1</v>
      </c>
      <c r="E8" s="5">
        <f>COUNTIFS(Condições!$C$2:$C$74,$A8,Condições!$E$2:$E$74,"Inicial")</f>
        <v/>
      </c>
      <c r="F8" s="5">
        <f>COUNTIFS(Condições!$C$2:$C$74,$A8,Condições!$E$2:$E$74,"Gerenciado")</f>
        <v/>
      </c>
      <c r="G8" s="5">
        <f>COUNTIFS(Condições!$C$2:$C$74,$A8,Condições!$E$2:$E$74,"Melhoria Contínua")</f>
        <v/>
      </c>
      <c r="H8" s="5">
        <f>SUM(E8:G8)</f>
        <v/>
      </c>
      <c r="I8" s="5" t="inlineStr">
        <is>
          <t>processo normativo; fluxo de elaboração de normas; indicadores processo normativo; manual de elaboração de atos normativos</t>
        </is>
      </c>
      <c r="J8" s="5" t="inlineStr">
        <is>
          <t>Portal &gt; Institucional &gt; processos; Boletim de Serviço; relatório de gestão</t>
        </is>
      </c>
    </row>
    <row r="9">
      <c r="A9" s="5" t="inlineStr">
        <is>
          <t>ARR_CAP</t>
        </is>
      </c>
      <c r="B9" s="5" t="inlineStr">
        <is>
          <t>Capacitação em ARR</t>
        </is>
      </c>
      <c r="C9" s="5" t="n">
        <v>6</v>
      </c>
      <c r="D9" s="5" t="n">
        <v>0.3</v>
      </c>
      <c r="E9" s="5">
        <f>COUNTIFS(Condições!$C$2:$C$74,$A9,Condições!$E$2:$E$74,"Inicial")</f>
        <v/>
      </c>
      <c r="F9" s="5">
        <f>COUNTIFS(Condições!$C$2:$C$74,$A9,Condições!$E$2:$E$74,"Gerenciado")</f>
        <v/>
      </c>
      <c r="G9" s="5">
        <f>COUNTIFS(Condições!$C$2:$C$74,$A9,Condições!$E$2:$E$74,"Melhoria Contínua")</f>
        <v/>
      </c>
      <c r="H9" s="5">
        <f>SUM(E9:G9)</f>
        <v/>
      </c>
      <c r="I9" s="5" t="inlineStr">
        <is>
          <t>capacitação ARR; análise de resultado regulatório curso</t>
        </is>
      </c>
      <c r="J9" s="5" t="inlineStr">
        <is>
          <t>Dado interno: relatório de gestão, plano de desenvolvimento de pessoas</t>
        </is>
      </c>
    </row>
    <row r="10">
      <c r="A10" s="5" t="inlineStr">
        <is>
          <t>ARR_MET</t>
        </is>
      </c>
      <c r="B10" s="5" t="inlineStr">
        <is>
          <t>Metodologia de ARR</t>
        </is>
      </c>
      <c r="C10" s="5" t="n">
        <v>6</v>
      </c>
      <c r="D10" s="5" t="n">
        <v>0.35</v>
      </c>
      <c r="E10" s="5">
        <f>COUNTIFS(Condições!$C$2:$C$74,$A10,Condições!$E$2:$E$74,"Inicial")</f>
        <v/>
      </c>
      <c r="F10" s="5">
        <f>COUNTIFS(Condições!$C$2:$C$74,$A10,Condições!$E$2:$E$74,"Gerenciado")</f>
        <v/>
      </c>
      <c r="G10" s="5">
        <f>COUNTIFS(Condições!$C$2:$C$74,$A10,Condições!$E$2:$E$74,"Melhoria Contínua")</f>
        <v/>
      </c>
      <c r="H10" s="5">
        <f>SUM(E10:G10)</f>
        <v/>
      </c>
      <c r="I10" s="5" t="inlineStr">
        <is>
          <t>agenda de ARR; manual ARR; análise de resultado regulatório metodologia</t>
        </is>
      </c>
      <c r="J10" s="5" t="inlineStr">
        <is>
          <t>Portal &gt; Regulação &gt; Agenda de ARR; Boletim de Serviço</t>
        </is>
      </c>
    </row>
    <row r="11">
      <c r="A11" s="5" t="inlineStr">
        <is>
          <t>ARR_PRO</t>
        </is>
      </c>
      <c r="B11" s="5" t="inlineStr">
        <is>
          <t>Processo de ARR</t>
        </is>
      </c>
      <c r="C11" s="5" t="n">
        <v>6</v>
      </c>
      <c r="D11" s="5" t="n">
        <v>0.35</v>
      </c>
      <c r="E11" s="5">
        <f>COUNTIFS(Condições!$C$2:$C$74,$A11,Condições!$E$2:$E$74,"Inicial")</f>
        <v/>
      </c>
      <c r="F11" s="5">
        <f>COUNTIFS(Condições!$C$2:$C$74,$A11,Condições!$E$2:$E$74,"Gerenciado")</f>
        <v/>
      </c>
      <c r="G11" s="5">
        <f>COUNTIFS(Condições!$C$2:$C$74,$A11,Condições!$E$2:$E$74,"Melhoria Contínua")</f>
        <v/>
      </c>
      <c r="H11" s="5">
        <f>SUM(E11:G11)</f>
        <v/>
      </c>
      <c r="I11" s="5" t="inlineStr">
        <is>
          <t>relatório de ARR; análise de resultado regulatório publicada</t>
        </is>
      </c>
      <c r="J11" s="5" t="inlineStr">
        <is>
          <t>Portal &gt; Regulação &gt; ARR; consultas públicas de ARR</t>
        </is>
      </c>
    </row>
    <row r="12">
      <c r="B12" s="8" t="inlineStr">
        <is>
          <t>Conferência: Σ pesos dentro de cada dimensão deve ser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0" customWidth="1" min="3" max="3"/>
    <col width="10" customWidth="1" min="4" max="4"/>
    <col width="17" customWidth="1" min="5" max="5"/>
    <col width="6" customWidth="1" min="6" max="6"/>
    <col width="60" customWidth="1" min="7" max="7"/>
    <col width="60" customWidth="1" min="8" max="8"/>
    <col width="14" customWidth="1" min="9" max="9"/>
    <col width="24" customWidth="1" min="10" max="10"/>
    <col width="40" customWidth="1" min="11" max="11"/>
    <col width="36" customWidth="1" min="12" max="12"/>
    <col width="50" customWidth="1" min="13" max="13"/>
  </cols>
  <sheetData>
    <row r="1">
      <c r="A1" s="4" t="inlineStr">
        <is>
          <t>ID</t>
        </is>
      </c>
      <c r="B1" s="4" t="inlineStr">
        <is>
          <t>Dim.</t>
        </is>
      </c>
      <c r="C1" s="4" t="inlineStr">
        <is>
          <t>Critério</t>
        </is>
      </c>
      <c r="D1" s="4" t="inlineStr">
        <is>
          <t>Nível-chave</t>
        </is>
      </c>
      <c r="E1" s="4" t="inlineStr">
        <is>
          <t>Nível</t>
        </is>
      </c>
      <c r="F1" s="4" t="inlineStr">
        <is>
          <t>Ordem</t>
        </is>
      </c>
      <c r="G1" s="4" t="inlineStr">
        <is>
          <t>Condição (texto da matriz, corrigido)</t>
        </is>
      </c>
      <c r="H1" s="4" t="inlineStr">
        <is>
          <t>Pergunta sim/não</t>
        </is>
      </c>
      <c r="I1" s="4" t="inlineStr">
        <is>
          <t>Verificabilidade (proposta)</t>
        </is>
      </c>
      <c r="J1" s="4" t="inlineStr">
        <is>
          <t>Tipo de evidência</t>
        </is>
      </c>
      <c r="K1" s="4" t="inlineStr">
        <is>
          <t>Por quê</t>
        </is>
      </c>
      <c r="L1" s="4" t="inlineStr">
        <is>
          <t>Base legal</t>
        </is>
      </c>
      <c r="M1" s="4" t="inlineStr">
        <is>
          <t>Texto original</t>
        </is>
      </c>
    </row>
    <row r="2">
      <c r="A2" s="5" t="inlineStr">
        <is>
          <t>AIR_CAP.MC.I</t>
        </is>
      </c>
      <c r="B2" s="5" t="n">
        <v>1</v>
      </c>
      <c r="C2" s="5" t="inlineStr">
        <is>
          <t>AIR_CAP</t>
        </is>
      </c>
      <c r="D2" s="5" t="inlineStr">
        <is>
          <t>melhoria_continua</t>
        </is>
      </c>
      <c r="E2" s="5" t="inlineStr">
        <is>
          <t>Melhoria Contínua</t>
        </is>
      </c>
      <c r="F2" s="5" t="inlineStr">
        <is>
          <t>I</t>
        </is>
      </c>
      <c r="G2" s="5" t="inlineStr">
        <is>
          <t>Plano de capacitação formalizado e em execução, incluindo permanente reciclagem em técnicas de AIR;</t>
        </is>
      </c>
      <c r="H2" s="5" t="inlineStr">
        <is>
          <t>Há evidência de que plano de capacitação formalizado e em execução, incluindo permanente reciclagem em técnicas de AIR?</t>
        </is>
      </c>
      <c r="I2" s="5" t="inlineStr">
        <is>
          <t>interna</t>
        </is>
      </c>
      <c r="J2" s="5" t="inlineStr">
        <is>
          <t>Dado interno</t>
        </is>
      </c>
      <c r="K2" s="5" t="inlineStr">
        <is>
          <t>Capacitação é dado de RH do órgão; não há documento público que a comprove por si.</t>
        </is>
      </c>
      <c r="L2" s="5" t="inlineStr">
        <is>
          <t>Lei 13.848/2019, art. 6º; Lei 13.874/2019, art. 5º; Decreto 10.411/2020</t>
        </is>
      </c>
      <c r="M2" s="5" t="inlineStr">
        <is>
          <t>I – Plano de capacitação formalizado e em execução, incluindo permanente reciclagem em técnicas de AIR;</t>
        </is>
      </c>
    </row>
    <row r="3">
      <c r="A3" s="5" t="inlineStr">
        <is>
          <t>AIR_CAP.GER.I</t>
        </is>
      </c>
      <c r="B3" s="5" t="n">
        <v>1</v>
      </c>
      <c r="C3" s="5" t="inlineStr">
        <is>
          <t>AIR_CAP</t>
        </is>
      </c>
      <c r="D3" s="5" t="inlineStr">
        <is>
          <t>gerenciado</t>
        </is>
      </c>
      <c r="E3" s="5" t="inlineStr">
        <is>
          <t>Gerenciado</t>
        </is>
      </c>
      <c r="F3" s="5" t="inlineStr">
        <is>
          <t>I</t>
        </is>
      </c>
      <c r="G3" s="5" t="inlineStr">
        <is>
          <t>Capacitações em AIR estão institucionalizadas, sem um plano formalizado;</t>
        </is>
      </c>
      <c r="H3" s="5" t="inlineStr">
        <is>
          <t>Há evidência de que capacitações em AIR estão institucionalizadas, sem um plano formalizado?</t>
        </is>
      </c>
      <c r="I3" s="5" t="inlineStr">
        <is>
          <t>interna</t>
        </is>
      </c>
      <c r="J3" s="5" t="inlineStr">
        <is>
          <t>Dado interno</t>
        </is>
      </c>
      <c r="K3" s="5" t="inlineStr">
        <is>
          <t>Capacitação é dado de RH do órgão; não há documento público que a comprove por si.</t>
        </is>
      </c>
      <c r="L3" s="5" t="inlineStr">
        <is>
          <t>Lei 13.848/2019, art. 6º; Lei 13.874/2019, art. 5º; Decreto 10.411/2020</t>
        </is>
      </c>
      <c r="M3" s="5" t="inlineStr">
        <is>
          <t>I – Capacitações em AIR estão institucionalizadas, sem um plano formalizado;</t>
        </is>
      </c>
    </row>
    <row r="4">
      <c r="A4" s="5" t="inlineStr">
        <is>
          <t>AIR_CAP.INI.I</t>
        </is>
      </c>
      <c r="B4" s="5" t="n">
        <v>1</v>
      </c>
      <c r="C4" s="5" t="inlineStr">
        <is>
          <t>AIR_CAP</t>
        </is>
      </c>
      <c r="D4" s="5" t="inlineStr">
        <is>
          <t>inicial</t>
        </is>
      </c>
      <c r="E4" s="5" t="inlineStr">
        <is>
          <t>Inicial</t>
        </is>
      </c>
      <c r="F4" s="5" t="inlineStr">
        <is>
          <t>I</t>
        </is>
      </c>
      <c r="G4" s="5" t="inlineStr">
        <is>
          <t>Capacitações em AIR não estão institucionalizadas;</t>
        </is>
      </c>
      <c r="H4" s="5" t="inlineStr">
        <is>
          <t>Há evidência de que capacitações em AIR não estão institucionalizadas?</t>
        </is>
      </c>
      <c r="I4" s="5" t="inlineStr">
        <is>
          <t>interna</t>
        </is>
      </c>
      <c r="J4" s="5" t="inlineStr">
        <is>
          <t>Dado interno</t>
        </is>
      </c>
      <c r="K4" s="5" t="inlineStr">
        <is>
          <t>Capacitação é dado de RH do órgão; não há documento público que a comprove por si.</t>
        </is>
      </c>
      <c r="L4" s="5" t="inlineStr">
        <is>
          <t>Lei 13.848/2019, art. 6º; Lei 13.874/2019, art. 5º; Decreto 10.411/2020</t>
        </is>
      </c>
      <c r="M4" s="5" t="inlineStr">
        <is>
          <t>I - Capacitações em AIR não estão institucionalizadas;</t>
        </is>
      </c>
    </row>
    <row r="5">
      <c r="A5" s="5" t="inlineStr">
        <is>
          <t>AIR_CAP.MC.II</t>
        </is>
      </c>
      <c r="B5" s="5" t="n">
        <v>1</v>
      </c>
      <c r="C5" s="5" t="inlineStr">
        <is>
          <t>AIR_CAP</t>
        </is>
      </c>
      <c r="D5" s="5" t="inlineStr">
        <is>
          <t>melhoria_continua</t>
        </is>
      </c>
      <c r="E5" s="5" t="inlineStr">
        <is>
          <t>Melhoria Contínua</t>
        </is>
      </c>
      <c r="F5" s="5" t="inlineStr">
        <is>
          <t>II</t>
        </is>
      </c>
      <c r="G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" s="5" t="inlineStr">
        <is>
          <t>Há evidência de que 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5" s="5" t="inlineStr">
        <is>
          <t>interna</t>
        </is>
      </c>
      <c r="J5" s="5" t="inlineStr">
        <is>
          <t>Indicador numérico</t>
        </is>
      </c>
      <c r="K5" s="5" t="inlineStr">
        <is>
          <t>Capacitação é dado de RH do órgão; não há documento público que a comprove por si.</t>
        </is>
      </c>
      <c r="L5" s="5" t="inlineStr">
        <is>
          <t>Lei 13.848/2019, art. 6º; Lei 13.874/2019, art. 5º; Decreto 10.411/2020</t>
        </is>
      </c>
      <c r="M5" s="5" t="inlineStr">
        <is>
          <t>II – 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</row>
    <row r="6">
      <c r="A6" s="5" t="inlineStr">
        <is>
          <t>AIR_CAP.GER.II</t>
        </is>
      </c>
      <c r="B6" s="5" t="n">
        <v>1</v>
      </c>
      <c r="C6" s="5" t="inlineStr">
        <is>
          <t>AIR_CAP</t>
        </is>
      </c>
      <c r="D6" s="5" t="inlineStr">
        <is>
          <t>gerenciado</t>
        </is>
      </c>
      <c r="E6" s="5" t="inlineStr">
        <is>
          <t>Gerenciado</t>
        </is>
      </c>
      <c r="F6" s="5" t="inlineStr">
        <is>
          <t>II</t>
        </is>
      </c>
      <c r="G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" s="5" t="inlineStr">
        <is>
          <t>Há evidência de que 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2020?</t>
        </is>
      </c>
      <c r="I6" s="5" t="inlineStr">
        <is>
          <t>interna</t>
        </is>
      </c>
      <c r="J6" s="5" t="inlineStr">
        <is>
          <t>Indicador numérico</t>
        </is>
      </c>
      <c r="K6" s="5" t="inlineStr">
        <is>
          <t>Capacitação é dado de RH do órgão; não há documento público que a comprove por si.</t>
        </is>
      </c>
      <c r="L6" s="5" t="inlineStr">
        <is>
          <t>Lei 13.848/2019, art. 6º; Lei 13.874/2019, art. 5º; Decreto 10.411/2020</t>
        </is>
      </c>
      <c r="M6" s="5" t="inlineStr">
        <is>
          <t>II – 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</row>
    <row r="7">
      <c r="A7" s="5" t="inlineStr">
        <is>
          <t>AIR_CAP.INI.II</t>
        </is>
      </c>
      <c r="B7" s="5" t="n">
        <v>1</v>
      </c>
      <c r="C7" s="5" t="inlineStr">
        <is>
          <t>AIR_CAP</t>
        </is>
      </c>
      <c r="D7" s="5" t="inlineStr">
        <is>
          <t>inicial</t>
        </is>
      </c>
      <c r="E7" s="5" t="inlineStr">
        <is>
          <t>Inicial</t>
        </is>
      </c>
      <c r="F7" s="5" t="inlineStr">
        <is>
          <t>II</t>
        </is>
      </c>
      <c r="G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" s="5" t="inlineStr">
        <is>
          <t>Há evidência de que 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2020?</t>
        </is>
      </c>
      <c r="I7" s="5" t="inlineStr">
        <is>
          <t>interna</t>
        </is>
      </c>
      <c r="J7" s="5" t="inlineStr">
        <is>
          <t>Indicador numérico</t>
        </is>
      </c>
      <c r="K7" s="5" t="inlineStr">
        <is>
          <t>Capacitação é dado de RH do órgão; não há documento público que a comprove por si.</t>
        </is>
      </c>
      <c r="L7" s="5" t="inlineStr">
        <is>
          <t>Lei 13.848/2019, art. 6º; Lei 13.874/2019, art. 5º; Decreto 10.411/2020</t>
        </is>
      </c>
      <c r="M7" s="5" t="inlineStr">
        <is>
          <t>II - 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de2020;</t>
        </is>
      </c>
    </row>
    <row r="8">
      <c r="A8" s="5" t="inlineStr">
        <is>
          <t>AIR_CAP.MC.III</t>
        </is>
      </c>
      <c r="B8" s="5" t="n">
        <v>1</v>
      </c>
      <c r="C8" s="5" t="inlineStr">
        <is>
          <t>AIR_CAP</t>
        </is>
      </c>
      <c r="D8" s="5" t="inlineStr">
        <is>
          <t>melhoria_continua</t>
        </is>
      </c>
      <c r="E8" s="5" t="inlineStr">
        <is>
          <t>Melhoria Contínua</t>
        </is>
      </c>
      <c r="F8" s="5" t="inlineStr">
        <is>
          <t>III</t>
        </is>
      </c>
      <c r="G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" s="5" t="inlineStr">
        <is>
          <t>Há evidência de que 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riscos)?</t>
        </is>
      </c>
      <c r="I8" s="5" t="inlineStr">
        <is>
          <t>interna</t>
        </is>
      </c>
      <c r="J8" s="5" t="inlineStr">
        <is>
          <t>Indicador numérico</t>
        </is>
      </c>
      <c r="K8" s="5" t="inlineStr">
        <is>
          <t>Capacitação é dado de RH do órgão; não há documento público que a comprove por si.</t>
        </is>
      </c>
      <c r="L8" s="5" t="inlineStr">
        <is>
          <t>Lei 13.848/2019, art. 6º; Lei 13.874/2019, art. 5º; Decreto 10.411/2020</t>
        </is>
      </c>
      <c r="M8" s="5" t="inlineStr">
        <is>
          <t>III – 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</row>
    <row r="9">
      <c r="A9" s="5" t="inlineStr">
        <is>
          <t>AIR_CAP.GER.III</t>
        </is>
      </c>
      <c r="B9" s="5" t="n">
        <v>1</v>
      </c>
      <c r="C9" s="5" t="inlineStr">
        <is>
          <t>AIR_CAP</t>
        </is>
      </c>
      <c r="D9" s="5" t="inlineStr">
        <is>
          <t>gerenciado</t>
        </is>
      </c>
      <c r="E9" s="5" t="inlineStr">
        <is>
          <t>Gerenciado</t>
        </is>
      </c>
      <c r="F9" s="5" t="inlineStr">
        <is>
          <t>III</t>
        </is>
      </c>
      <c r="G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9" s="5" t="inlineStr">
        <is>
          <t>Há evidência de que 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9" s="5" t="inlineStr">
        <is>
          <t>interna</t>
        </is>
      </c>
      <c r="J9" s="5" t="inlineStr">
        <is>
          <t>Indicador numérico</t>
        </is>
      </c>
      <c r="K9" s="5" t="inlineStr">
        <is>
          <t>Capacitação é dado de RH do órgão; não há documento público que a comprove por si.</t>
        </is>
      </c>
      <c r="L9" s="5" t="inlineStr">
        <is>
          <t>Lei 13.848/2019, art. 6º; Lei 13.874/2019, art. 5º; Decreto 10.411/2020</t>
        </is>
      </c>
      <c r="M9" s="5" t="inlineStr">
        <is>
          <t>III – 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</row>
    <row r="10">
      <c r="A10" s="5" t="inlineStr">
        <is>
          <t>AIR_CAP.INI.III</t>
        </is>
      </c>
      <c r="B10" s="5" t="n">
        <v>1</v>
      </c>
      <c r="C10" s="5" t="inlineStr">
        <is>
          <t>AIR_CAP</t>
        </is>
      </c>
      <c r="D10" s="5" t="inlineStr">
        <is>
          <t>inicial</t>
        </is>
      </c>
      <c r="E10" s="5" t="inlineStr">
        <is>
          <t>Inicial</t>
        </is>
      </c>
      <c r="F10" s="5" t="inlineStr">
        <is>
          <t>III</t>
        </is>
      </c>
      <c r="G1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0" s="5" t="inlineStr">
        <is>
          <t>Há evidência de que 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sugerida?</t>
        </is>
      </c>
      <c r="I10" s="5" t="inlineStr">
        <is>
          <t>interna</t>
        </is>
      </c>
      <c r="J10" s="5" t="inlineStr">
        <is>
          <t>Indicador numérico</t>
        </is>
      </c>
      <c r="K10" s="5" t="inlineStr">
        <is>
          <t>Capacitação é dado de RH do órgão; não há documento público que a comprove por si.</t>
        </is>
      </c>
      <c r="L10" s="5" t="inlineStr">
        <is>
          <t>Lei 13.848/2019, art. 6º; Lei 13.874/2019, art. 5º; Decreto 10.411/2020</t>
        </is>
      </c>
      <c r="M10" s="5" t="inlineStr">
        <is>
          <t>III – 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</row>
    <row r="11">
      <c r="A11" s="5" t="inlineStr">
        <is>
          <t>AIR_CAP.GER.IV</t>
        </is>
      </c>
      <c r="B11" s="5" t="n">
        <v>1</v>
      </c>
      <c r="C11" s="5" t="inlineStr">
        <is>
          <t>AIR_CAP</t>
        </is>
      </c>
      <c r="D11" s="5" t="inlineStr">
        <is>
          <t>gerenciado</t>
        </is>
      </c>
      <c r="E11" s="5" t="inlineStr">
        <is>
          <t>Gerenciado</t>
        </is>
      </c>
      <c r="F11" s="5" t="inlineStr">
        <is>
          <t>IV</t>
        </is>
      </c>
      <c r="G1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1" s="5" t="inlineStr">
        <is>
          <t>Há evidência de que 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riscos)?</t>
        </is>
      </c>
      <c r="I11" s="5" t="inlineStr">
        <is>
          <t>interna</t>
        </is>
      </c>
      <c r="J11" s="5" t="inlineStr">
        <is>
          <t>Indicador numérico</t>
        </is>
      </c>
      <c r="K11" s="5" t="inlineStr">
        <is>
          <t>Capacitação é dado de RH do órgão; não há documento público que a comprove por si.</t>
        </is>
      </c>
      <c r="L11" s="5" t="inlineStr">
        <is>
          <t>Lei 13.848/2019, art. 6º; Lei 13.874/2019, art. 5º; Decreto 10.411/2020</t>
        </is>
      </c>
      <c r="M11" s="5" t="inlineStr">
        <is>
          <t>IV – de 25% da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</row>
    <row r="12">
      <c r="A12" s="5" t="inlineStr">
        <is>
          <t>AIR_MET.MC.I</t>
        </is>
      </c>
      <c r="B12" s="5" t="n">
        <v>1</v>
      </c>
      <c r="C12" s="5" t="inlineStr">
        <is>
          <t>AIR_MET</t>
        </is>
      </c>
      <c r="D12" s="5" t="inlineStr">
        <is>
          <t>melhoria_continua</t>
        </is>
      </c>
      <c r="E12" s="5" t="inlineStr">
        <is>
          <t>Melhoria Contínua</t>
        </is>
      </c>
      <c r="F12" s="5" t="inlineStr">
        <is>
          <t>I</t>
        </is>
      </c>
      <c r="G12" s="5" t="inlineStr">
        <is>
          <t>Critérios objetivos estabelecidos para classificação quanto ao nível de impacto e complexidade da AIR;</t>
        </is>
      </c>
      <c r="H12" s="5" t="inlineStr">
        <is>
          <t>Há evidência de que critérios objetivos estabelecidos para classificação quanto ao nível de impacto e complexidade da AIR?</t>
        </is>
      </c>
      <c r="I12" s="5" t="inlineStr">
        <is>
          <t>interna</t>
        </is>
      </c>
      <c r="J12" s="5" t="inlineStr">
        <is>
          <t>Dado interno</t>
        </is>
      </c>
      <c r="K12" s="5" t="inlineStr">
        <is>
          <t>Prática de gestão sem documento público típico (ex.: monitoramento, integração ao planejamento).</t>
        </is>
      </c>
      <c r="L12" s="5" t="inlineStr">
        <is>
          <t>Lei 13.848/2019, art. 6º; Lei 13.874/2019, art. 5º; Decreto 10.411/2020</t>
        </is>
      </c>
      <c r="M12" s="5" t="inlineStr">
        <is>
          <t>I – Critérios objetivos estabelecidos para classificação quanto ao nível de impacto e complexidade da AIR;</t>
        </is>
      </c>
    </row>
    <row r="13">
      <c r="A13" s="5" t="inlineStr">
        <is>
          <t>AIR_MET.GER.I</t>
        </is>
      </c>
      <c r="B13" s="5" t="n">
        <v>1</v>
      </c>
      <c r="C13" s="5" t="inlineStr">
        <is>
          <t>AIR_MET</t>
        </is>
      </c>
      <c r="D13" s="5" t="inlineStr">
        <is>
          <t>gerenciado</t>
        </is>
      </c>
      <c r="E13" s="5" t="inlineStr">
        <is>
          <t>Gerenciado</t>
        </is>
      </c>
      <c r="F13" s="5" t="inlineStr">
        <is>
          <t>I</t>
        </is>
      </c>
      <c r="G13" s="5" t="inlineStr">
        <is>
          <t>Existência de manual ou ato normativo interno instituindo a aplicabilidade institucional da AIR;</t>
        </is>
      </c>
      <c r="H13" s="5" t="inlineStr">
        <is>
          <t>Há evidência de que existência de manual ou ato normativo interno instituindo a aplicabilidade institucional da AIR?</t>
        </is>
      </c>
      <c r="I13" s="5" t="inlineStr">
        <is>
          <t>pública</t>
        </is>
      </c>
      <c r="J13" s="5" t="inlineStr">
        <is>
          <t>Documento público (ato/manual publicável)</t>
        </is>
      </c>
      <c r="K13" s="5" t="inlineStr">
        <is>
          <t>Depende de o ato estar publicado; se não estiver, só dado interno.</t>
        </is>
      </c>
      <c r="L13" s="5" t="inlineStr">
        <is>
          <t>Lei 13.848/2019, art. 6º; Lei 13.874/2019, art. 5º; Decreto 10.411/2020</t>
        </is>
      </c>
      <c r="M13" s="5" t="inlineStr">
        <is>
          <t>I – Existência de manual ou ato normativo interno instituindo a aplicabilidade institucional da AIR;</t>
        </is>
      </c>
    </row>
    <row r="14">
      <c r="A14" s="5" t="inlineStr">
        <is>
          <t>AIR_MET.INI.I</t>
        </is>
      </c>
      <c r="B14" s="5" t="n">
        <v>1</v>
      </c>
      <c r="C14" s="5" t="inlineStr">
        <is>
          <t>AIR_MET</t>
        </is>
      </c>
      <c r="D14" s="5" t="inlineStr">
        <is>
          <t>inicial</t>
        </is>
      </c>
      <c r="E14" s="5" t="inlineStr">
        <is>
          <t>Inicial</t>
        </is>
      </c>
      <c r="F14" s="5" t="inlineStr">
        <is>
          <t>I</t>
        </is>
      </c>
      <c r="G14" s="5" t="inlineStr">
        <is>
          <t>houve a publicação de normativo interno dispondo sobre a aplicação da AIR na instituição, conforme Decreto nº 10.411, de 2020.</t>
        </is>
      </c>
      <c r="H14" s="5" t="inlineStr">
        <is>
          <t>Há evidência de que houve a publicação de normativo interno dispondo sobre a aplicação da AIR na instituição, conforme Decreto nº 10.411, de 2020?</t>
        </is>
      </c>
      <c r="I14" s="5" t="inlineStr">
        <is>
          <t>pública</t>
        </is>
      </c>
      <c r="J14" s="5" t="inlineStr">
        <is>
          <t>Documento público</t>
        </is>
      </c>
      <c r="K14" s="5" t="inlineStr"/>
      <c r="L14" s="5" t="inlineStr">
        <is>
          <t>Lei 13.848/2019, art. 6º; Lei 13.874/2019, art. 5º; Decreto 10.411/2020</t>
        </is>
      </c>
      <c r="M14" s="5" t="inlineStr">
        <is>
          <t>I - houve a publicação de normativo interno dispondo sobre a aplicação da AIR na instituição, conforme Decreto nº 10.411, de 2020.</t>
        </is>
      </c>
    </row>
    <row r="15">
      <c r="A15" s="5" t="inlineStr">
        <is>
          <t>AIR_MET.MC.II</t>
        </is>
      </c>
      <c r="B15" s="5" t="n">
        <v>1</v>
      </c>
      <c r="C15" s="5" t="inlineStr">
        <is>
          <t>AIR_MET</t>
        </is>
      </c>
      <c r="D15" s="5" t="inlineStr">
        <is>
          <t>melhoria_continua</t>
        </is>
      </c>
      <c r="E15" s="5" t="inlineStr">
        <is>
          <t>Melhoria Contínua</t>
        </is>
      </c>
      <c r="F15" s="5" t="inlineStr">
        <is>
          <t>II</t>
        </is>
      </c>
      <c r="G15" s="5" t="inlineStr">
        <is>
          <t>Metodologia contempla participação social prévia e posterior à elaboração da AIR, conforme complexidade do ato.</t>
        </is>
      </c>
      <c r="H15" s="5" t="inlineStr">
        <is>
          <t>Há evidência de que metodologia contempla participação social prévia e posterior à elaboração da AIR, conforme complexidade do ato?</t>
        </is>
      </c>
      <c r="I15" s="5" t="inlineStr">
        <is>
          <t>pública</t>
        </is>
      </c>
      <c r="J15" s="5" t="inlineStr">
        <is>
          <t>Documento público (ato/manual publicável)</t>
        </is>
      </c>
      <c r="K15" s="5" t="inlineStr">
        <is>
          <t>Depende de o ato estar publicado; se não estiver, só dado interno.</t>
        </is>
      </c>
      <c r="L15" s="5" t="inlineStr">
        <is>
          <t>Lei 13.848/2019, art. 6º; Lei 13.874/2019, art. 5º; Decreto 10.411/2020</t>
        </is>
      </c>
      <c r="M15" s="5" t="inlineStr">
        <is>
          <t>II – Metodologia contempla participação social prévia e posterior à elaboração da AIR, conforme complexidade do ato.</t>
        </is>
      </c>
    </row>
    <row r="16">
      <c r="A16" s="5" t="inlineStr">
        <is>
          <t>AIR_MET.GER.II</t>
        </is>
      </c>
      <c r="B16" s="5" t="n">
        <v>1</v>
      </c>
      <c r="C16" s="5" t="inlineStr">
        <is>
          <t>AIR_MET</t>
        </is>
      </c>
      <c r="D16" s="5" t="inlineStr">
        <is>
          <t>gerenciado</t>
        </is>
      </c>
      <c r="E16" s="5" t="inlineStr">
        <is>
          <t>Gerenciado</t>
        </is>
      </c>
      <c r="F16" s="5" t="inlineStr">
        <is>
          <t>II</t>
        </is>
      </c>
      <c r="G16" s="5" t="inlineStr">
        <is>
          <t>Existência de manual ou ato normativo dispondo sobre a participação social posterior relativa à AIR.</t>
        </is>
      </c>
      <c r="H16" s="5" t="inlineStr">
        <is>
          <t>Há evidência de que existência de manual ou ato normativo dispondo sobre a participação social posterior relativa à AIR?</t>
        </is>
      </c>
      <c r="I16" s="5" t="inlineStr">
        <is>
          <t>pública</t>
        </is>
      </c>
      <c r="J16" s="5" t="inlineStr">
        <is>
          <t>Documento público (ato/manual publicável)</t>
        </is>
      </c>
      <c r="K16" s="5" t="inlineStr">
        <is>
          <t>Depende de o ato estar publicado; se não estiver, só dado interno.</t>
        </is>
      </c>
      <c r="L16" s="5" t="inlineStr">
        <is>
          <t>Lei 13.848/2019, art. 6º; Lei 13.874/2019, art. 5º; Decreto 10.411/2020</t>
        </is>
      </c>
      <c r="M16" s="5" t="inlineStr">
        <is>
          <t>II – Existência de manual ou ato normativo dispondo sobre a participação social posterior relativa à AIR.</t>
        </is>
      </c>
    </row>
    <row r="17">
      <c r="A17" s="5" t="inlineStr">
        <is>
          <t>AIR_PRO.MC.I</t>
        </is>
      </c>
      <c r="B17" s="5" t="n">
        <v>1</v>
      </c>
      <c r="C17" s="5" t="inlineStr">
        <is>
          <t>AIR_PRO</t>
        </is>
      </c>
      <c r="D17" s="5" t="inlineStr">
        <is>
          <t>melhoria_continua</t>
        </is>
      </c>
      <c r="E17" s="5" t="inlineStr">
        <is>
          <t>Melhoria Contínua</t>
        </is>
      </c>
      <c r="F17" s="5" t="inlineStr">
        <is>
          <t>I</t>
        </is>
      </c>
      <c r="G17" s="5" t="inlineStr">
        <is>
          <t>Há processo contínuo de avaliação e melhoria do processo de elaboração de AIR;</t>
        </is>
      </c>
      <c r="H17" s="5" t="inlineStr">
        <is>
          <t>Há evidência de que há processo contínuo de avaliação e melhoria do processo de elaboração de AIR?</t>
        </is>
      </c>
      <c r="I17" s="5" t="inlineStr">
        <is>
          <t>interna</t>
        </is>
      </c>
      <c r="J17" s="5" t="inlineStr">
        <is>
          <t>Dado interno</t>
        </is>
      </c>
      <c r="K17" s="5" t="inlineStr">
        <is>
          <t>Prática de gestão sem documento público típico (ex.: monitoramento, integração ao planejamento).</t>
        </is>
      </c>
      <c r="L17" s="5" t="inlineStr">
        <is>
          <t>Lei 13.848/2019, art. 6º; Lei 13.874/2019, art. 5º; Decreto 10.411/2020</t>
        </is>
      </c>
      <c r="M17" s="5" t="inlineStr">
        <is>
          <t>I – Há processo contínuo de avaliação e melhoria do processo de elaboração de AIR;</t>
        </is>
      </c>
    </row>
    <row r="18">
      <c r="A18" s="5" t="inlineStr">
        <is>
          <t>AIR_PRO.GER.I</t>
        </is>
      </c>
      <c r="B18" s="5" t="n">
        <v>1</v>
      </c>
      <c r="C18" s="5" t="inlineStr">
        <is>
          <t>AIR_PRO</t>
        </is>
      </c>
      <c r="D18" s="5" t="inlineStr">
        <is>
          <t>gerenciado</t>
        </is>
      </c>
      <c r="E18" s="5" t="inlineStr">
        <is>
          <t>Gerenciado</t>
        </is>
      </c>
      <c r="F18" s="5" t="inlineStr">
        <is>
          <t>I</t>
        </is>
      </c>
      <c r="G18" s="5" t="inlineStr">
        <is>
          <t>Todas as AIRs são sempre realizadas conforme manual ou ato normativo interno e publicadas e acessíveis ao público na internet;</t>
        </is>
      </c>
      <c r="H18" s="5" t="inlineStr">
        <is>
          <t>Há evidência de que todas as AIRs são sempre realizadas conforme manual ou ato normativo interno e publicadas e acessíveis ao público na internet?</t>
        </is>
      </c>
      <c r="I18" s="5" t="inlineStr">
        <is>
          <t>pública</t>
        </is>
      </c>
      <c r="J18" s="5" t="inlineStr">
        <is>
          <t>Documento público</t>
        </is>
      </c>
      <c r="K18" s="5" t="inlineStr"/>
      <c r="L18" s="5" t="inlineStr">
        <is>
          <t>Lei 13.848/2019, art. 6º; Lei 13.874/2019, art. 5º; Decreto 10.411/2020</t>
        </is>
      </c>
      <c r="M18" s="5" t="inlineStr">
        <is>
          <t>I – Todas as AIRs são sempre realizadas conforme manual ou ato normativo interno e publicadas e acessíveis ao público na internet;</t>
        </is>
      </c>
    </row>
    <row r="19">
      <c r="A19" s="5" t="inlineStr">
        <is>
          <t>AIR_PRO.INI.I</t>
        </is>
      </c>
      <c r="B19" s="5" t="n">
        <v>1</v>
      </c>
      <c r="C19" s="5" t="inlineStr">
        <is>
          <t>AIR_PRO</t>
        </is>
      </c>
      <c r="D19" s="5" t="inlineStr">
        <is>
          <t>inicial</t>
        </is>
      </c>
      <c r="E19" s="5" t="inlineStr">
        <is>
          <t>Inicial</t>
        </is>
      </c>
      <c r="F19" s="5" t="inlineStr">
        <is>
          <t>I</t>
        </is>
      </c>
      <c r="G19" s="5" t="inlineStr">
        <is>
          <t>AIR é sempre realizada e a dispensa justificada, conforme critérios objetivos estabelecidos, conforme Decreto nº 10.411, de 2020;</t>
        </is>
      </c>
      <c r="H19" s="5" t="inlineStr">
        <is>
          <t>Há evidência de que aIR é sempre realizada e a dispensa justificada, conforme critérios objetivos estabelecidos, conforme Decreto nº 10.411, de 2020?</t>
        </is>
      </c>
      <c r="I19" s="5" t="inlineStr">
        <is>
          <t>interna</t>
        </is>
      </c>
      <c r="J19" s="5" t="inlineStr">
        <is>
          <t>Dado interno</t>
        </is>
      </c>
      <c r="K19" s="5" t="inlineStr">
        <is>
          <t>Prática de gestão sem documento público típico (ex.: monitoramento, integração ao planejamento).</t>
        </is>
      </c>
      <c r="L19" s="5" t="inlineStr">
        <is>
          <t>Lei 13.848/2019, art. 6º; Lei 13.874/2019, art. 5º; Decreto 10.411/2020</t>
        </is>
      </c>
      <c r="M19" s="5" t="inlineStr">
        <is>
          <t>I – AIR é sempre realizada e a dispensa justificada, conforme critérios objetivos estabelecidos, conforme Decreto nº 10.411, de 2020;</t>
        </is>
      </c>
    </row>
    <row r="20">
      <c r="A20" s="5" t="inlineStr">
        <is>
          <t>AIR_PRO.MC.II</t>
        </is>
      </c>
      <c r="B20" s="5" t="n">
        <v>1</v>
      </c>
      <c r="C20" s="5" t="inlineStr">
        <is>
          <t>AIR_PRO</t>
        </is>
      </c>
      <c r="D20" s="5" t="inlineStr">
        <is>
          <t>melhoria_continua</t>
        </is>
      </c>
      <c r="E20" s="5" t="inlineStr">
        <is>
          <t>Melhoria Contínua</t>
        </is>
      </c>
      <c r="F20" s="5" t="inlineStr">
        <is>
          <t>II</t>
        </is>
      </c>
      <c r="G20" s="5" t="inlineStr">
        <is>
          <t>Existência de instrumento de avaliação de qualidade das AIRs realizadas;</t>
        </is>
      </c>
      <c r="H20" s="5" t="inlineStr">
        <is>
          <t>Há evidência de que existência de instrumento de avaliação de qualidade das AIRs realizadas?</t>
        </is>
      </c>
      <c r="I20" s="5" t="inlineStr">
        <is>
          <t>interna</t>
        </is>
      </c>
      <c r="J20" s="5" t="inlineStr">
        <is>
          <t>Dado interno</t>
        </is>
      </c>
      <c r="K20" s="5" t="inlineStr">
        <is>
          <t>Prática de gestão sem documento público típico (ex.: monitoramento, integração ao planejamento).</t>
        </is>
      </c>
      <c r="L20" s="5" t="inlineStr">
        <is>
          <t>Lei 13.848/2019, art. 6º; Lei 13.874/2019, art. 5º; Decreto 10.411/2020</t>
        </is>
      </c>
      <c r="M20" s="5" t="inlineStr">
        <is>
          <t>II – Existência de instrumento de avaliação de qualidade das AIRs realizadas;</t>
        </is>
      </c>
    </row>
    <row r="21">
      <c r="A21" s="5" t="inlineStr">
        <is>
          <t>AIR_PRO.GER.II</t>
        </is>
      </c>
      <c r="B21" s="5" t="n">
        <v>1</v>
      </c>
      <c r="C21" s="5" t="inlineStr">
        <is>
          <t>AIR_PRO</t>
        </is>
      </c>
      <c r="D21" s="5" t="inlineStr">
        <is>
          <t>gerenciado</t>
        </is>
      </c>
      <c r="E21" s="5" t="inlineStr">
        <is>
          <t>Gerenciado</t>
        </is>
      </c>
      <c r="F21" s="5" t="inlineStr">
        <is>
          <t>II</t>
        </is>
      </c>
      <c r="G21" s="5" t="inlineStr">
        <is>
          <t>O processo de elaboração de AIR está mapeado na instituição;</t>
        </is>
      </c>
      <c r="H21" s="5" t="inlineStr">
        <is>
          <t>Há evidência de que o processo de elaboração de AIR está mapeado na instituição?</t>
        </is>
      </c>
      <c r="I21" s="5" t="inlineStr">
        <is>
          <t>interna</t>
        </is>
      </c>
      <c r="J21" s="5" t="inlineStr">
        <is>
          <t>Dado interno</t>
        </is>
      </c>
      <c r="K21" s="5" t="inlineStr">
        <is>
          <t>Prática de gestão sem documento público típico (ex.: monitoramento, integração ao planejamento).</t>
        </is>
      </c>
      <c r="L21" s="5" t="inlineStr">
        <is>
          <t>Lei 13.848/2019, art. 6º; Lei 13.874/2019, art. 5º; Decreto 10.411/2020</t>
        </is>
      </c>
      <c r="M21" s="5" t="inlineStr">
        <is>
          <t>II – O processo de elaboração de AIR está mapeado na instituição;</t>
        </is>
      </c>
    </row>
    <row r="22">
      <c r="A22" s="5" t="inlineStr">
        <is>
          <t>AIR_PRO.INI.II</t>
        </is>
      </c>
      <c r="B22" s="5" t="n">
        <v>1</v>
      </c>
      <c r="C22" s="5" t="inlineStr">
        <is>
          <t>AIR_PRO</t>
        </is>
      </c>
      <c r="D22" s="5" t="inlineStr">
        <is>
          <t>inicial</t>
        </is>
      </c>
      <c r="E22" s="5" t="inlineStr">
        <is>
          <t>Inicial</t>
        </is>
      </c>
      <c r="F22" s="5" t="inlineStr">
        <is>
          <t>II</t>
        </is>
      </c>
      <c r="G22" s="5" t="inlineStr">
        <is>
          <t>Todas as AIRs são publicadas e acessíveis ao público na internet;</t>
        </is>
      </c>
      <c r="H22" s="5" t="inlineStr">
        <is>
          <t>Há evidência de que todas as AIRs são publicadas e acessíveis ao público na internet?</t>
        </is>
      </c>
      <c r="I22" s="5" t="inlineStr">
        <is>
          <t>pública</t>
        </is>
      </c>
      <c r="J22" s="5" t="inlineStr">
        <is>
          <t>Documento público</t>
        </is>
      </c>
      <c r="K22" s="5" t="inlineStr"/>
      <c r="L22" s="5" t="inlineStr">
        <is>
          <t>Lei 13.848/2019, art. 6º; Lei 13.874/2019, art. 5º; Decreto 10.411/2020</t>
        </is>
      </c>
      <c r="M22" s="5" t="inlineStr">
        <is>
          <t>II – Todas as AIRs são publicadas e acessíveis ao público na internet;</t>
        </is>
      </c>
    </row>
    <row r="23">
      <c r="A23" s="5" t="inlineStr">
        <is>
          <t>AIR_PRO.MC.III</t>
        </is>
      </c>
      <c r="B23" s="5" t="n">
        <v>1</v>
      </c>
      <c r="C23" s="5" t="inlineStr">
        <is>
          <t>AIR_PRO</t>
        </is>
      </c>
      <c r="D23" s="5" t="inlineStr">
        <is>
          <t>melhoria_continua</t>
        </is>
      </c>
      <c r="E23" s="5" t="inlineStr">
        <is>
          <t>Melhoria Contínua</t>
        </is>
      </c>
      <c r="F23" s="5" t="inlineStr">
        <is>
          <t>III</t>
        </is>
      </c>
      <c r="G23" s="5" t="inlineStr">
        <is>
          <t>As AIRs de alto impacto/alta complexidade são submetidas à participação social prévia e posterior.</t>
        </is>
      </c>
      <c r="H23" s="5" t="inlineStr">
        <is>
          <t>Há evidência de que as AIRs de alto impacto/alta complexidade são submetidas à participação social prévia e posterior?</t>
        </is>
      </c>
      <c r="I23" s="5" t="inlineStr">
        <is>
          <t>interna</t>
        </is>
      </c>
      <c r="J23" s="5" t="inlineStr">
        <is>
          <t>Dado interno</t>
        </is>
      </c>
      <c r="K23" s="5" t="inlineStr">
        <is>
          <t>Prática de gestão sem documento público típico (ex.: monitoramento, integração ao planejamento).</t>
        </is>
      </c>
      <c r="L23" s="5" t="inlineStr">
        <is>
          <t>Lei 13.848/2019, art. 6º; Lei 13.874/2019, art. 5º; Decreto 10.411/2020</t>
        </is>
      </c>
      <c r="M23" s="5" t="inlineStr">
        <is>
          <t>III – As AIRs de alto impacto/alta complexidade são submetidas à participação social prévia e posterior.</t>
        </is>
      </c>
    </row>
    <row r="24">
      <c r="A24" s="5" t="inlineStr">
        <is>
          <t>AIR_PRO.GER.III</t>
        </is>
      </c>
      <c r="B24" s="5" t="n">
        <v>1</v>
      </c>
      <c r="C24" s="5" t="inlineStr">
        <is>
          <t>AIR_PRO</t>
        </is>
      </c>
      <c r="D24" s="5" t="inlineStr">
        <is>
          <t>gerenciado</t>
        </is>
      </c>
      <c r="E24" s="5" t="inlineStr">
        <is>
          <t>Gerenciado</t>
        </is>
      </c>
      <c r="F24" s="5" t="inlineStr">
        <is>
          <t>III</t>
        </is>
      </c>
      <c r="G24" s="5" t="inlineStr">
        <is>
          <t>As AIRs são objeto de participação social posterior, conforme decisão técnica.</t>
        </is>
      </c>
      <c r="H24" s="5" t="inlineStr">
        <is>
          <t>Há evidência de que as AIRs são objeto de participação social posterior, conforme decisão técnica?</t>
        </is>
      </c>
      <c r="I24" s="5" t="inlineStr">
        <is>
          <t>interna</t>
        </is>
      </c>
      <c r="J24" s="5" t="inlineStr">
        <is>
          <t>Dado interno</t>
        </is>
      </c>
      <c r="K24" s="5" t="inlineStr">
        <is>
          <t>Prática de gestão sem documento público típico (ex.: monitoramento, integração ao planejamento).</t>
        </is>
      </c>
      <c r="L24" s="5" t="inlineStr">
        <is>
          <t>Lei 13.848/2019, art. 6º; Lei 13.874/2019, art. 5º; Decreto 10.411/2020</t>
        </is>
      </c>
      <c r="M24" s="5" t="inlineStr">
        <is>
          <t>III – As AIRs são objeto de participação social posterior, conforme decisão técnica.</t>
        </is>
      </c>
    </row>
    <row r="25">
      <c r="A25" s="5" t="inlineStr">
        <is>
          <t>AIR_PRO.INI.III</t>
        </is>
      </c>
      <c r="B25" s="5" t="n">
        <v>1</v>
      </c>
      <c r="C25" s="5" t="inlineStr">
        <is>
          <t>AIR_PRO</t>
        </is>
      </c>
      <c r="D25" s="5" t="inlineStr">
        <is>
          <t>inicial</t>
        </is>
      </c>
      <c r="E25" s="5" t="inlineStr">
        <is>
          <t>Inicial</t>
        </is>
      </c>
      <c r="F25" s="5" t="inlineStr">
        <is>
          <t>III</t>
        </is>
      </c>
      <c r="G25" s="5" t="inlineStr">
        <is>
          <t>Participação Social é realizada, conforme Decreto nº 10.411, de 2020.</t>
        </is>
      </c>
      <c r="H25" s="5" t="inlineStr">
        <is>
          <t>Há evidência de que participação Social é realizada, conforme Decreto nº 10.411, de 2020?</t>
        </is>
      </c>
      <c r="I25" s="5" t="inlineStr">
        <is>
          <t>interna</t>
        </is>
      </c>
      <c r="J25" s="5" t="inlineStr">
        <is>
          <t>Dado interno</t>
        </is>
      </c>
      <c r="K25" s="5" t="inlineStr">
        <is>
          <t>Prática de gestão sem documento público típico (ex.: monitoramento, integração ao planejamento).</t>
        </is>
      </c>
      <c r="L25" s="5" t="inlineStr">
        <is>
          <t>Lei 13.848/2019, art. 6º; Lei 13.874/2019, art. 5º; Decreto 10.411/2020</t>
        </is>
      </c>
      <c r="M25" s="5" t="inlineStr">
        <is>
          <t>III – Participação Social é realizada, conforme Decreto nº 10.411, de 2020.</t>
        </is>
      </c>
    </row>
    <row r="26">
      <c r="A26" s="5" t="inlineStr">
        <is>
          <t>PS.MC.I</t>
        </is>
      </c>
      <c r="B26" s="5" t="n">
        <v>2</v>
      </c>
      <c r="C26" s="5" t="inlineStr">
        <is>
          <t>PS</t>
        </is>
      </c>
      <c r="D26" s="5" t="inlineStr">
        <is>
          <t>melhoria_continua</t>
        </is>
      </c>
      <c r="E26" s="5" t="inlineStr">
        <is>
          <t>Melhoria Contínua</t>
        </is>
      </c>
      <c r="F26" s="5" t="inlineStr">
        <is>
          <t>I</t>
        </is>
      </c>
      <c r="G26" s="5" t="inlineStr">
        <is>
          <t>A instituição realiza eventos de participação social para a construção do conhecimento sobre dada matéria e para o desenvolvimento de propostas;</t>
        </is>
      </c>
      <c r="H26" s="5" t="inlineStr">
        <is>
          <t>Há evidência de que a instituição realiza eventos de participação social para a construção do conhecimento sobre dada matéria e para o desenvolvimento de propostas?</t>
        </is>
      </c>
      <c r="I26" s="5" t="inlineStr">
        <is>
          <t>interna</t>
        </is>
      </c>
      <c r="J26" s="5" t="inlineStr">
        <is>
          <t>Dado interno</t>
        </is>
      </c>
      <c r="K26" s="5" t="inlineStr">
        <is>
          <t>Prática de gestão sem documento público típico (ex.: monitoramento, integração ao planejamento).</t>
        </is>
      </c>
      <c r="L26" s="5" t="inlineStr">
        <is>
          <t>Lei 13.848/2019, arts. 9º a 11; Lei 13.874/2019; Decreto 10.411/2020</t>
        </is>
      </c>
      <c r="M26" s="5" t="inlineStr">
        <is>
          <t>I – A instituição realiza eventos de participação social para a construção do conhecimento sobre dada matéria e para o desenvolvimento de propostas;</t>
        </is>
      </c>
    </row>
    <row r="27">
      <c r="A27" s="5" t="inlineStr">
        <is>
          <t>PS.GER.I</t>
        </is>
      </c>
      <c r="B27" s="5" t="n">
        <v>2</v>
      </c>
      <c r="C27" s="5" t="inlineStr">
        <is>
          <t>PS</t>
        </is>
      </c>
      <c r="D27" s="5" t="inlineStr">
        <is>
          <t>gerenciado</t>
        </is>
      </c>
      <c r="E27" s="5" t="inlineStr">
        <is>
          <t>Gerenciado</t>
        </is>
      </c>
      <c r="F27" s="5" t="inlineStr">
        <is>
          <t>I</t>
        </is>
      </c>
      <c r="G27" s="5" t="inlineStr">
        <is>
          <t>Existência de manual ou ato normativo interno instituindo metodologia e procedimento de participação social;</t>
        </is>
      </c>
      <c r="H27" s="5" t="inlineStr">
        <is>
          <t>Há evidência de que existência de manual ou ato normativo interno instituindo metodologia e procedimento de participação social?</t>
        </is>
      </c>
      <c r="I27" s="5" t="inlineStr">
        <is>
          <t>pública</t>
        </is>
      </c>
      <c r="J27" s="5" t="inlineStr">
        <is>
          <t>Documento público (ato/manual publicável)</t>
        </is>
      </c>
      <c r="K27" s="5" t="inlineStr">
        <is>
          <t>Depende de o ato estar publicado; se não estiver, só dado interno.</t>
        </is>
      </c>
      <c r="L27" s="5" t="inlineStr">
        <is>
          <t>Lei 13.848/2019, arts. 9º a 11; Lei 13.874/2019; Decreto 10.411/2020</t>
        </is>
      </c>
      <c r="M27" s="5" t="inlineStr">
        <is>
          <t>I – Existência de manual ou ato normativo interno instituindo metodologia e procedimento de participação social;</t>
        </is>
      </c>
    </row>
    <row r="28">
      <c r="A28" s="5" t="inlineStr">
        <is>
          <t>PS.INI.I</t>
        </is>
      </c>
      <c r="B28" s="5" t="n">
        <v>2</v>
      </c>
      <c r="C28" s="5" t="inlineStr">
        <is>
          <t>PS</t>
        </is>
      </c>
      <c r="D28" s="5" t="inlineStr">
        <is>
          <t>inicial</t>
        </is>
      </c>
      <c r="E28" s="5" t="inlineStr">
        <is>
          <t>Inicial</t>
        </is>
      </c>
      <c r="F28" s="5" t="inlineStr">
        <is>
          <t>I</t>
        </is>
      </c>
      <c r="G2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8" s="5" t="inlineStr">
        <is>
          <t>Há evidência de que existe dispositivo interno orientando a participação social conforme disposto na legislação específica vigente, tais como as Leis nº 13.848, de 25 de junho de 2019 e nº 13.874, de 20 de setembro de 2019 e o Decreto nº 10.411, de 2020?</t>
        </is>
      </c>
      <c r="I28" s="5" t="inlineStr">
        <is>
          <t>interna</t>
        </is>
      </c>
      <c r="J28" s="5" t="inlineStr">
        <is>
          <t>Dado interno</t>
        </is>
      </c>
      <c r="K28" s="5" t="inlineStr">
        <is>
          <t>Prática de gestão sem documento público típico (ex.: monitoramento, integração ao planejamento).</t>
        </is>
      </c>
      <c r="L28" s="5" t="inlineStr">
        <is>
          <t>Lei 13.848/2019, arts. 9º a 11; Lei 13.874/2019; Decreto 10.411/2020</t>
        </is>
      </c>
      <c r="M28" s="5" t="inlineStr">
        <is>
          <t>I - existe dispositivo interno orientando a participação social conforme disposto na legislação específica vigente, tais como as Leis nº 13.848, de 25 de junho de 2019 e nº 13.874, de 20 de setembro de 2019 e o Decreto nº 10.411, de 2020.</t>
        </is>
      </c>
    </row>
    <row r="29">
      <c r="A29" s="5" t="inlineStr">
        <is>
          <t>PS.MC.II</t>
        </is>
      </c>
      <c r="B29" s="5" t="n">
        <v>2</v>
      </c>
      <c r="C29" s="5" t="inlineStr">
        <is>
          <t>PS</t>
        </is>
      </c>
      <c r="D29" s="5" t="inlineStr">
        <is>
          <t>melhoria_continua</t>
        </is>
      </c>
      <c r="E29" s="5" t="inlineStr">
        <is>
          <t>Melhoria Contínua</t>
        </is>
      </c>
      <c r="F29" s="5" t="inlineStr">
        <is>
          <t>II</t>
        </is>
      </c>
      <c r="G29" s="5" t="inlineStr">
        <is>
          <t>Relatórios da Ouvidoria, relatórios do portal consumidor.gov, pesquisas de satisfação e dados de atendimento são utilizados para subsidiar as decisões regulatórias;</t>
        </is>
      </c>
      <c r="H29" s="5" t="inlineStr">
        <is>
          <t>Há evidência de que relatórios da Ouvidoria, relatórios do portal consumidor.gov, pesquisas de satisfação e dados de atendimento são utilizados para subsidiar as decisões regulatórias?</t>
        </is>
      </c>
      <c r="I29" s="5" t="inlineStr">
        <is>
          <t>pública</t>
        </is>
      </c>
      <c r="J29" s="5" t="inlineStr">
        <is>
          <t>Documento público</t>
        </is>
      </c>
      <c r="K29" s="5" t="inlineStr"/>
      <c r="L29" s="5" t="inlineStr">
        <is>
          <t>Lei 13.848/2019, arts. 9º a 11; Lei 13.874/2019; Decreto 10.411/2020</t>
        </is>
      </c>
      <c r="M29" s="5" t="inlineStr">
        <is>
          <t>II – Relatórios da Ouvidoria, relatórios do portal consumidor.gov, pesquisas de satisfação e dados de atendimento são utilizados para subsidiar as decisões regulatórias;</t>
        </is>
      </c>
    </row>
    <row r="30">
      <c r="A30" s="5" t="inlineStr">
        <is>
          <t>PS.GER.II</t>
        </is>
      </c>
      <c r="B30" s="5" t="n">
        <v>2</v>
      </c>
      <c r="C30" s="5" t="inlineStr">
        <is>
          <t>PS</t>
        </is>
      </c>
      <c r="D30" s="5" t="inlineStr">
        <is>
          <t>gerenciado</t>
        </is>
      </c>
      <c r="E30" s="5" t="inlineStr">
        <is>
          <t>Gerenciado</t>
        </is>
      </c>
      <c r="F30" s="5" t="inlineStr">
        <is>
          <t>II</t>
        </is>
      </c>
      <c r="G30" s="5" t="inlineStr">
        <is>
          <t>Os relatórios da Ouvidoria e os relatórios do portal consumidor.gov são utilizados para subsidiar as decisões regulatórias;</t>
        </is>
      </c>
      <c r="H30" s="5" t="inlineStr">
        <is>
          <t>Há evidência de que os relatórios da Ouvidoria e os relatórios do portal consumidor.gov são utilizados para subsidiar as decisões regulatórias?</t>
        </is>
      </c>
      <c r="I30" s="5" t="inlineStr">
        <is>
          <t>pública</t>
        </is>
      </c>
      <c r="J30" s="5" t="inlineStr">
        <is>
          <t>Documento público</t>
        </is>
      </c>
      <c r="K30" s="5" t="inlineStr"/>
      <c r="L30" s="5" t="inlineStr">
        <is>
          <t>Lei 13.848/2019, arts. 9º a 11; Lei 13.874/2019; Decreto 10.411/2020</t>
        </is>
      </c>
      <c r="M30" s="5" t="inlineStr">
        <is>
          <t>II – Os relatórios da Ouvidoria e os relatórios do portal consumidor.gov são utilizados para subsidiar as decisões regulatórias;</t>
        </is>
      </c>
    </row>
    <row r="31">
      <c r="A31" s="5" t="inlineStr">
        <is>
          <t>PS.MC.III</t>
        </is>
      </c>
      <c r="B31" s="5" t="n">
        <v>2</v>
      </c>
      <c r="C31" s="5" t="inlineStr">
        <is>
          <t>PS</t>
        </is>
      </c>
      <c r="D31" s="5" t="inlineStr">
        <is>
          <t>melhoria_continua</t>
        </is>
      </c>
      <c r="E31" s="5" t="inlineStr">
        <is>
          <t>Melhoria Contínua</t>
        </is>
      </c>
      <c r="F31" s="5" t="inlineStr">
        <is>
          <t>III</t>
        </is>
      </c>
      <c r="G31" s="5" t="inlineStr">
        <is>
          <t>Todos os instrumentos, processos e relatórios contendo as contribuições analisadas são divulgados no portal do órgão e/ou plataforma Participa Mais Brasil;</t>
        </is>
      </c>
      <c r="H31" s="5" t="inlineStr">
        <is>
          <t>Há evidência de que todos os instrumentos, processos e relatórios contendo as contribuições analisadas são divulgados no portal do órgão e/ou plataforma Participa Mais Brasil?</t>
        </is>
      </c>
      <c r="I31" s="5" t="inlineStr">
        <is>
          <t>pública</t>
        </is>
      </c>
      <c r="J31" s="5" t="inlineStr">
        <is>
          <t>Documento público</t>
        </is>
      </c>
      <c r="K31" s="5" t="inlineStr"/>
      <c r="L31" s="5" t="inlineStr">
        <is>
          <t>Lei 13.848/2019, arts. 9º a 11; Lei 13.874/2019; Decreto 10.411/2020</t>
        </is>
      </c>
      <c r="M31" s="5" t="inlineStr">
        <is>
          <t>III – Todos os instrumentos, processos e relatórios contendo as contribuições analisadas são divulgados no portal do órgão e/ou plataforma Participa Mais Brasil;</t>
        </is>
      </c>
    </row>
    <row r="32">
      <c r="A32" s="5" t="inlineStr">
        <is>
          <t>PS.GER.III</t>
        </is>
      </c>
      <c r="B32" s="5" t="n">
        <v>2</v>
      </c>
      <c r="C32" s="5" t="inlineStr">
        <is>
          <t>PS</t>
        </is>
      </c>
      <c r="D32" s="5" t="inlineStr">
        <is>
          <t>gerenciado</t>
        </is>
      </c>
      <c r="E32" s="5" t="inlineStr">
        <is>
          <t>Gerenciado</t>
        </is>
      </c>
      <c r="F32" s="5" t="inlineStr">
        <is>
          <t>III</t>
        </is>
      </c>
      <c r="G32" s="5" t="inlineStr">
        <is>
          <t>Todas as informações relativas aos processos em andamento são divulgadas no portal do órgão e/ou plataforma Participa Mais Brasil;</t>
        </is>
      </c>
      <c r="H32" s="5" t="inlineStr">
        <is>
          <t>Há evidência de que todas as informações relativas aos processos em andamento são divulgadas no portal do órgão e/ou plataforma Participa Mais Brasil?</t>
        </is>
      </c>
      <c r="I32" s="5" t="inlineStr">
        <is>
          <t>pública</t>
        </is>
      </c>
      <c r="J32" s="5" t="inlineStr">
        <is>
          <t>Documento público</t>
        </is>
      </c>
      <c r="K32" s="5" t="inlineStr"/>
      <c r="L32" s="5" t="inlineStr">
        <is>
          <t>Lei 13.848/2019, arts. 9º a 11; Lei 13.874/2019; Decreto 10.411/2020</t>
        </is>
      </c>
      <c r="M32" s="5" t="inlineStr">
        <is>
          <t>III – Todas as informações relativas aos processos em andamento são divulgadas no portal do órgão e/ou plataforma Participa Mais Brasil;</t>
        </is>
      </c>
    </row>
    <row r="33">
      <c r="A33" s="5" t="inlineStr">
        <is>
          <t>PS.MC.IV</t>
        </is>
      </c>
      <c r="B33" s="5" t="n">
        <v>2</v>
      </c>
      <c r="C33" s="5" t="inlineStr">
        <is>
          <t>PS</t>
        </is>
      </c>
      <c r="D33" s="5" t="inlineStr">
        <is>
          <t>melhoria_continua</t>
        </is>
      </c>
      <c r="E33" s="5" t="inlineStr">
        <is>
          <t>Melhoria Contínua</t>
        </is>
      </c>
      <c r="F33" s="5" t="inlineStr">
        <is>
          <t>IV</t>
        </is>
      </c>
      <c r="G33" s="5" t="inlineStr">
        <is>
          <t>A efetividade do evento de participação social é mensurada, conforme metodologia instituída.</t>
        </is>
      </c>
      <c r="H33" s="5" t="inlineStr">
        <is>
          <t>Há evidência de que a efetividade do evento de participação social é mensurada, conforme metodologia instituída?</t>
        </is>
      </c>
      <c r="I33" s="5" t="inlineStr">
        <is>
          <t>pública</t>
        </is>
      </c>
      <c r="J33" s="5" t="inlineStr">
        <is>
          <t>Documento público (ato/manual publicável)</t>
        </is>
      </c>
      <c r="K33" s="5" t="inlineStr">
        <is>
          <t>Depende de o ato estar publicado; se não estiver, só dado interno.</t>
        </is>
      </c>
      <c r="L33" s="5" t="inlineStr">
        <is>
          <t>Lei 13.848/2019, arts. 9º a 11; Lei 13.874/2019; Decreto 10.411/2020</t>
        </is>
      </c>
      <c r="M33" s="5" t="inlineStr">
        <is>
          <t>IV – A efetividade do evento de participação social é mensurada, conforme metodologia instituída.</t>
        </is>
      </c>
    </row>
    <row r="34">
      <c r="A34" s="5" t="inlineStr">
        <is>
          <t>PS.GER.IV</t>
        </is>
      </c>
      <c r="B34" s="5" t="n">
        <v>2</v>
      </c>
      <c r="C34" s="5" t="inlineStr">
        <is>
          <t>PS</t>
        </is>
      </c>
      <c r="D34" s="5" t="inlineStr">
        <is>
          <t>gerenciado</t>
        </is>
      </c>
      <c r="E34" s="5" t="inlineStr">
        <is>
          <t>Gerenciado</t>
        </is>
      </c>
      <c r="F34" s="5" t="inlineStr">
        <is>
          <t>IV</t>
        </is>
      </c>
      <c r="G34" s="5" t="inlineStr">
        <is>
          <t>A efetividade do evento de participação social é avaliada de forma intuitiva.</t>
        </is>
      </c>
      <c r="H34" s="5" t="inlineStr">
        <is>
          <t>Há evidência de que a efetividade do evento de participação social é avaliada de forma intuitiva?</t>
        </is>
      </c>
      <c r="I34" s="5" t="inlineStr">
        <is>
          <t>interna</t>
        </is>
      </c>
      <c r="J34" s="5" t="inlineStr">
        <is>
          <t>Dado interno</t>
        </is>
      </c>
      <c r="K34" s="5" t="inlineStr">
        <is>
          <t>Prática de gestão sem documento público típico (ex.: monitoramento, integração ao planejamento).</t>
        </is>
      </c>
      <c r="L34" s="5" t="inlineStr">
        <is>
          <t>Lei 13.848/2019, arts. 9º a 11; Lei 13.874/2019; Decreto 10.411/2020</t>
        </is>
      </c>
      <c r="M34" s="5" t="inlineStr">
        <is>
          <t>IV – A efetividade do evento de participação social é avaliada de forma intuitiva.</t>
        </is>
      </c>
    </row>
    <row r="35">
      <c r="A35" s="5" t="inlineStr">
        <is>
          <t>EST.MC.I</t>
        </is>
      </c>
      <c r="B35" s="5" t="n">
        <v>3</v>
      </c>
      <c r="C35" s="5" t="inlineStr">
        <is>
          <t>EST</t>
        </is>
      </c>
      <c r="D35" s="5" t="inlineStr">
        <is>
          <t>melhoria_continua</t>
        </is>
      </c>
      <c r="E35" s="5" t="inlineStr">
        <is>
          <t>Melhoria Contínua</t>
        </is>
      </c>
      <c r="F35" s="5" t="inlineStr">
        <is>
          <t>I</t>
        </is>
      </c>
      <c r="G35" s="5" t="inlineStr">
        <is>
          <t>As alterações do estoque regulatório da instituição são priorizadas por meio de uma agenda regulatória;</t>
        </is>
      </c>
      <c r="H35" s="5" t="inlineStr">
        <is>
          <t>Há evidência de que as alterações do estoque regulatório da instituição são priorizadas por meio de uma agenda regulatória?</t>
        </is>
      </c>
      <c r="I35" s="5" t="inlineStr">
        <is>
          <t>pública</t>
        </is>
      </c>
      <c r="J35" s="5" t="inlineStr">
        <is>
          <t>Documento público (ato/manual publicável)</t>
        </is>
      </c>
      <c r="K35" s="5" t="inlineStr">
        <is>
          <t>Depende de o ato estar publicado; se não estiver, só dado interno.</t>
        </is>
      </c>
      <c r="L35" s="5" t="inlineStr">
        <is>
          <t>Decreto 10.139/2019, art. 19; Lei 13.874/2019</t>
        </is>
      </c>
      <c r="M35" s="5" t="inlineStr">
        <is>
          <t>I – As alterações do estoque regulatório da instituição são priorizadas por meio de uma agenda regulatória;</t>
        </is>
      </c>
    </row>
    <row r="36">
      <c r="A36" s="5" t="inlineStr">
        <is>
          <t>EST.GER.I</t>
        </is>
      </c>
      <c r="B36" s="5" t="n">
        <v>3</v>
      </c>
      <c r="C36" s="5" t="inlineStr">
        <is>
          <t>EST</t>
        </is>
      </c>
      <c r="D36" s="5" t="inlineStr">
        <is>
          <t>gerenciado</t>
        </is>
      </c>
      <c r="E36" s="5" t="inlineStr">
        <is>
          <t>Gerenciado</t>
        </is>
      </c>
      <c r="F36" s="5" t="inlineStr">
        <is>
          <t>I</t>
        </is>
      </c>
      <c r="G36" s="5" t="inlineStr">
        <is>
          <t>Normas publicadas e disponíveis de maneira sistematizada para consulta pública no portal gov.br;</t>
        </is>
      </c>
      <c r="H36" s="5" t="inlineStr">
        <is>
          <t>Há evidência de que normas publicadas e disponíveis de maneira sistematizada para consulta pública no portal gov.br?</t>
        </is>
      </c>
      <c r="I36" s="5" t="inlineStr">
        <is>
          <t>pública</t>
        </is>
      </c>
      <c r="J36" s="5" t="inlineStr">
        <is>
          <t>Documento público</t>
        </is>
      </c>
      <c r="K36" s="5" t="inlineStr"/>
      <c r="L36" s="5" t="inlineStr">
        <is>
          <t>Decreto 10.139/2019, art. 19; Lei 13.874/2019</t>
        </is>
      </c>
      <c r="M36" s="5" t="inlineStr">
        <is>
          <t>I – Normas publicadas e disponíveis de maneira sistematizada para consulta pública no portal gov.br;</t>
        </is>
      </c>
    </row>
    <row r="37">
      <c r="A37" s="5" t="inlineStr">
        <is>
          <t>EST.INI.I</t>
        </is>
      </c>
      <c r="B37" s="5" t="n">
        <v>3</v>
      </c>
      <c r="C37" s="5" t="inlineStr">
        <is>
          <t>EST</t>
        </is>
      </c>
      <c r="D37" s="5" t="inlineStr">
        <is>
          <t>inicial</t>
        </is>
      </c>
      <c r="E37" s="5" t="inlineStr">
        <is>
          <t>Inicial</t>
        </is>
      </c>
      <c r="F37" s="5" t="inlineStr">
        <is>
          <t>I</t>
        </is>
      </c>
      <c r="G37" s="5" t="inlineStr">
        <is>
          <t>Normas publicadas e disponíveis de maneira sistematizada para consulta pública na internet;</t>
        </is>
      </c>
      <c r="H37" s="5" t="inlineStr">
        <is>
          <t>Há evidência de que normas publicadas e disponíveis de maneira sistematizada para consulta pública na internet?</t>
        </is>
      </c>
      <c r="I37" s="5" t="inlineStr">
        <is>
          <t>pública</t>
        </is>
      </c>
      <c r="J37" s="5" t="inlineStr">
        <is>
          <t>Documento público</t>
        </is>
      </c>
      <c r="K37" s="5" t="inlineStr"/>
      <c r="L37" s="5" t="inlineStr">
        <is>
          <t>Decreto 10.139/2019, art. 19; Lei 13.874/2019</t>
        </is>
      </c>
      <c r="M37" s="5" t="inlineStr">
        <is>
          <t>I – Normas publicadas e disponíveis de maneira sistematizada para consulta pública na internet;</t>
        </is>
      </c>
    </row>
    <row r="38">
      <c r="A38" s="5" t="inlineStr">
        <is>
          <t>EST.MC.II</t>
        </is>
      </c>
      <c r="B38" s="5" t="n">
        <v>3</v>
      </c>
      <c r="C38" s="5" t="inlineStr">
        <is>
          <t>EST</t>
        </is>
      </c>
      <c r="D38" s="5" t="inlineStr">
        <is>
          <t>melhoria_continua</t>
        </is>
      </c>
      <c r="E38" s="5" t="inlineStr">
        <is>
          <t>Melhoria Contínua</t>
        </is>
      </c>
      <c r="F38" s="5" t="inlineStr">
        <is>
          <t>II</t>
        </is>
      </c>
      <c r="G38" s="5" t="inlineStr">
        <is>
          <t>Todas as novas normas passam pela análise de consolidação e compatibilização de normas vigentes.</t>
        </is>
      </c>
      <c r="H38" s="5" t="inlineStr">
        <is>
          <t>Há evidência de que todas as novas normas passam pela análise de consolidação e compatibilização de normas vigentes?</t>
        </is>
      </c>
      <c r="I38" s="5" t="inlineStr">
        <is>
          <t>pública</t>
        </is>
      </c>
      <c r="J38" s="5" t="inlineStr">
        <is>
          <t>Documento público (ato/manual publicável)</t>
        </is>
      </c>
      <c r="K38" s="5" t="inlineStr">
        <is>
          <t>Depende de o ato estar publicado; se não estiver, só dado interno.</t>
        </is>
      </c>
      <c r="L38" s="5" t="inlineStr">
        <is>
          <t>Decreto 10.139/2019, art. 19; Lei 13.874/2019</t>
        </is>
      </c>
      <c r="M38" s="5" t="inlineStr">
        <is>
          <t>II – Todas as novas normas passam pela análise de consolidação e compatibilização de normas vigentes.</t>
        </is>
      </c>
    </row>
    <row r="39">
      <c r="A39" s="5" t="inlineStr">
        <is>
          <t>EST.GER.II</t>
        </is>
      </c>
      <c r="B39" s="5" t="n">
        <v>3</v>
      </c>
      <c r="C39" s="5" t="inlineStr">
        <is>
          <t>EST</t>
        </is>
      </c>
      <c r="D39" s="5" t="inlineStr">
        <is>
          <t>gerenciado</t>
        </is>
      </c>
      <c r="E39" s="5" t="inlineStr">
        <is>
          <t>Gerenciado</t>
        </is>
      </c>
      <c r="F39" s="5" t="inlineStr">
        <is>
          <t>II</t>
        </is>
      </c>
      <c r="G39" s="5" t="inlineStr">
        <is>
          <t>Foi realizado levantamento quantitativo de todas as normas do órgão, bem como análise qualitativa, indexação e classificação por tema;</t>
        </is>
      </c>
      <c r="H39" s="5" t="inlineStr">
        <is>
          <t>Há evidência de que foi realizado levantamento quantitativo de todas as normas do órgão, bem como análise qualitativa, indexação e classificação por tema?</t>
        </is>
      </c>
      <c r="I39" s="5" t="inlineStr">
        <is>
          <t>pública</t>
        </is>
      </c>
      <c r="J39" s="5" t="inlineStr">
        <is>
          <t>Documento público (ato/manual publicável)</t>
        </is>
      </c>
      <c r="K39" s="5" t="inlineStr">
        <is>
          <t>Depende de o ato estar publicado; se não estiver, só dado interno.</t>
        </is>
      </c>
      <c r="L39" s="5" t="inlineStr">
        <is>
          <t>Decreto 10.139/2019, art. 19; Lei 13.874/2019</t>
        </is>
      </c>
      <c r="M39" s="5" t="inlineStr">
        <is>
          <t>II – Foi realizado levantamento quantitativo de todas as normas do órgão, bem como análise qualitativa, indexação e classificação por tema;</t>
        </is>
      </c>
    </row>
    <row r="40">
      <c r="A40" s="5" t="inlineStr">
        <is>
          <t>EST.INI.II</t>
        </is>
      </c>
      <c r="B40" s="5" t="n">
        <v>3</v>
      </c>
      <c r="C40" s="5" t="inlineStr">
        <is>
          <t>EST</t>
        </is>
      </c>
      <c r="D40" s="5" t="inlineStr">
        <is>
          <t>inicial</t>
        </is>
      </c>
      <c r="E40" s="5" t="inlineStr">
        <is>
          <t>Inicial</t>
        </is>
      </c>
      <c r="F40" s="5" t="inlineStr">
        <is>
          <t>II</t>
        </is>
      </c>
      <c r="G40" s="5" t="inlineStr">
        <is>
          <t>Foi realizado levantamento quantitativo de todas as normas do órgão.</t>
        </is>
      </c>
      <c r="H40" s="5" t="inlineStr">
        <is>
          <t>Há evidência de que foi realizado levantamento quantitativo de todas as normas do órgão?</t>
        </is>
      </c>
      <c r="I40" s="5" t="inlineStr">
        <is>
          <t>pública</t>
        </is>
      </c>
      <c r="J40" s="5" t="inlineStr">
        <is>
          <t>Documento público (ato/manual publicável)</t>
        </is>
      </c>
      <c r="K40" s="5" t="inlineStr">
        <is>
          <t>Depende de o ato estar publicado; se não estiver, só dado interno.</t>
        </is>
      </c>
      <c r="L40" s="5" t="inlineStr">
        <is>
          <t>Decreto 10.139/2019, art. 19; Lei 13.874/2019</t>
        </is>
      </c>
      <c r="M40" s="5" t="inlineStr">
        <is>
          <t>II – Foi realizado levantamento quantitativo de todas as normas do órgão.</t>
        </is>
      </c>
    </row>
    <row r="41">
      <c r="A41" s="5" t="inlineStr">
        <is>
          <t>EST.GER.III</t>
        </is>
      </c>
      <c r="B41" s="5" t="n">
        <v>3</v>
      </c>
      <c r="C41" s="5" t="inlineStr">
        <is>
          <t>EST</t>
        </is>
      </c>
      <c r="D41" s="5" t="inlineStr">
        <is>
          <t>gerenciado</t>
        </is>
      </c>
      <c r="E41" s="5" t="inlineStr">
        <is>
          <t>Gerenciado</t>
        </is>
      </c>
      <c r="F41" s="5" t="inlineStr">
        <is>
          <t>III</t>
        </is>
      </c>
      <c r="G41" s="5" t="inlineStr">
        <is>
          <t>Para toda a nova norma de alto impacto/alta complexidade foi estimado o fardo regulatório; e</t>
        </is>
      </c>
      <c r="H41" s="5" t="inlineStr">
        <is>
          <t>Há evidência de que para toda a nova norma de alto impacto/alta complexidade foi estimado o fardo regulatório; e?</t>
        </is>
      </c>
      <c r="I41" s="5" t="inlineStr">
        <is>
          <t>pública</t>
        </is>
      </c>
      <c r="J41" s="5" t="inlineStr">
        <is>
          <t>Documento público (ato/manual publicável)</t>
        </is>
      </c>
      <c r="K41" s="5" t="inlineStr">
        <is>
          <t>Depende de o ato estar publicado; se não estiver, só dado interno.</t>
        </is>
      </c>
      <c r="L41" s="5" t="inlineStr">
        <is>
          <t>Decreto 10.139/2019, art. 19; Lei 13.874/2019</t>
        </is>
      </c>
      <c r="M41" s="5" t="inlineStr">
        <is>
          <t>III – Para toda a nova norma de alto impacto/alta complexidade foi estimado o fardo regulatório; e</t>
        </is>
      </c>
    </row>
    <row r="42">
      <c r="A42" s="5" t="inlineStr">
        <is>
          <t>EST.GER.IV</t>
        </is>
      </c>
      <c r="B42" s="5" t="n">
        <v>3</v>
      </c>
      <c r="C42" s="5" t="inlineStr">
        <is>
          <t>EST</t>
        </is>
      </c>
      <c r="D42" s="5" t="inlineStr">
        <is>
          <t>gerenciado</t>
        </is>
      </c>
      <c r="E42" s="5" t="inlineStr">
        <is>
          <t>Gerenciado</t>
        </is>
      </c>
      <c r="F42" s="5" t="inlineStr">
        <is>
          <t>IV</t>
        </is>
      </c>
      <c r="G42" s="5" t="inlineStr">
        <is>
          <t>Existe manutenção da consolidação normativa, conforme art. 19 do Decreto nº 10.139, de 28 de novembro de 2019.</t>
        </is>
      </c>
      <c r="H42" s="5" t="inlineStr">
        <is>
          <t>Há evidência de que existe manutenção da consolidação normativa, conforme art. 19 do Decreto nº 10.139, de 28 de novembro de 2019?</t>
        </is>
      </c>
      <c r="I42" s="5" t="inlineStr">
        <is>
          <t>pública</t>
        </is>
      </c>
      <c r="J42" s="5" t="inlineStr">
        <is>
          <t>Documento público (ato/manual publicável)</t>
        </is>
      </c>
      <c r="K42" s="5" t="inlineStr">
        <is>
          <t>Depende de o ato estar publicado; se não estiver, só dado interno.</t>
        </is>
      </c>
      <c r="L42" s="5" t="inlineStr">
        <is>
          <t>Decreto 10.139/2019, art. 19; Lei 13.874/2019</t>
        </is>
      </c>
      <c r="M42" s="5" t="inlineStr">
        <is>
          <t>IV – Existe manutenção da consolidação normativa, conforme art. 19 do Decreto nº 10.139, de 28 de novembro de 2019.</t>
        </is>
      </c>
    </row>
    <row r="43">
      <c r="A43" s="5" t="inlineStr">
        <is>
          <t>AGE.MC.I</t>
        </is>
      </c>
      <c r="B43" s="5" t="n">
        <v>4</v>
      </c>
      <c r="C43" s="5" t="inlineStr">
        <is>
          <t>AGE</t>
        </is>
      </c>
      <c r="D43" s="5" t="inlineStr">
        <is>
          <t>melhoria_continua</t>
        </is>
      </c>
      <c r="E43" s="5" t="inlineStr">
        <is>
          <t>Melhoria Contínua</t>
        </is>
      </c>
      <c r="F43" s="5" t="inlineStr">
        <is>
          <t>I</t>
        </is>
      </c>
      <c r="G43" s="5" t="inlineStr">
        <is>
          <t>A elaboração da agenda regulatória tem ampla participação social, a qual é analisada, respondida e divulgada;</t>
        </is>
      </c>
      <c r="H43" s="5" t="inlineStr">
        <is>
          <t>Há evidência de que a elaboração da agenda regulatória tem ampla participação social, a qual é analisada, respondida e divulgada?</t>
        </is>
      </c>
      <c r="I43" s="5" t="inlineStr">
        <is>
          <t>pública</t>
        </is>
      </c>
      <c r="J43" s="5" t="inlineStr">
        <is>
          <t>Documento público</t>
        </is>
      </c>
      <c r="K43" s="5" t="inlineStr"/>
      <c r="L43" s="5" t="inlineStr">
        <is>
          <t>Lei 13.848/2019, art. 21</t>
        </is>
      </c>
      <c r="M43" s="5" t="inlineStr">
        <is>
          <t>I – A elaboração da agenda regulatória tem ampla participação social, a qual é analisada, respondida e divulgada;</t>
        </is>
      </c>
    </row>
    <row r="44">
      <c r="A44" s="5" t="inlineStr">
        <is>
          <t>AGE.GER.I</t>
        </is>
      </c>
      <c r="B44" s="5" t="n">
        <v>4</v>
      </c>
      <c r="C44" s="5" t="inlineStr">
        <is>
          <t>AGE</t>
        </is>
      </c>
      <c r="D44" s="5" t="inlineStr">
        <is>
          <t>gerenciado</t>
        </is>
      </c>
      <c r="E44" s="5" t="inlineStr">
        <is>
          <t>Gerenciado</t>
        </is>
      </c>
      <c r="F44" s="5" t="inlineStr">
        <is>
          <t>I</t>
        </is>
      </c>
      <c r="G44" s="5" t="inlineStr">
        <is>
          <t>A elaboração da agenda regulatória tem ampla participação social, a qual é analisada, porém não respondida e divulgada;</t>
        </is>
      </c>
      <c r="H44" s="5" t="inlineStr">
        <is>
          <t>Há evidência de que a elaboração da agenda regulatória tem ampla participação social, a qual é analisada, porém não respondida e divulgada?</t>
        </is>
      </c>
      <c r="I44" s="5" t="inlineStr">
        <is>
          <t>pública</t>
        </is>
      </c>
      <c r="J44" s="5" t="inlineStr">
        <is>
          <t>Documento público</t>
        </is>
      </c>
      <c r="K44" s="5" t="inlineStr"/>
      <c r="L44" s="5" t="inlineStr">
        <is>
          <t>Lei 13.848/2019, art. 21</t>
        </is>
      </c>
      <c r="M44" s="5" t="inlineStr">
        <is>
          <t>I – A elaboração da agenda regulatória tem ampla participação social, a qual é analisada, porém não respondida e divulgada;</t>
        </is>
      </c>
    </row>
    <row r="45">
      <c r="A45" s="5" t="inlineStr">
        <is>
          <t>AGE.INI.I</t>
        </is>
      </c>
      <c r="B45" s="5" t="n">
        <v>4</v>
      </c>
      <c r="C45" s="5" t="inlineStr">
        <is>
          <t>AGE</t>
        </is>
      </c>
      <c r="D45" s="5" t="inlineStr">
        <is>
          <t>inicial</t>
        </is>
      </c>
      <c r="E45" s="5" t="inlineStr">
        <is>
          <t>Inicial</t>
        </is>
      </c>
      <c r="F45" s="5" t="inlineStr">
        <is>
          <t>I</t>
        </is>
      </c>
      <c r="G45" s="5" t="inlineStr">
        <is>
          <t>Os temas da agenda regulatória são elencados e priorizados pelos gestores da agência;</t>
        </is>
      </c>
      <c r="H45" s="5" t="inlineStr">
        <is>
          <t>Há evidência de que os temas da agenda regulatória são elencados e priorizados pelos gestores da agência?</t>
        </is>
      </c>
      <c r="I45" s="5" t="inlineStr">
        <is>
          <t>pública</t>
        </is>
      </c>
      <c r="J45" s="5" t="inlineStr">
        <is>
          <t>Documento público (ato/manual publicável)</t>
        </is>
      </c>
      <c r="K45" s="5" t="inlineStr">
        <is>
          <t>Depende de o ato estar publicado; se não estiver, só dado interno.</t>
        </is>
      </c>
      <c r="L45" s="5" t="inlineStr">
        <is>
          <t>Lei 13.848/2019, art. 21</t>
        </is>
      </c>
      <c r="M45" s="5" t="inlineStr">
        <is>
          <t>I – Os temas da agenda regulatória são elencados e priorizados pelos gestores da agência;</t>
        </is>
      </c>
    </row>
    <row r="46">
      <c r="A46" s="5" t="inlineStr">
        <is>
          <t>AGE.MC.II</t>
        </is>
      </c>
      <c r="B46" s="5" t="n">
        <v>4</v>
      </c>
      <c r="C46" s="5" t="inlineStr">
        <is>
          <t>AGE</t>
        </is>
      </c>
      <c r="D46" s="5" t="inlineStr">
        <is>
          <t>melhoria_continua</t>
        </is>
      </c>
      <c r="E46" s="5" t="inlineStr">
        <is>
          <t>Melhoria Contínua</t>
        </is>
      </c>
      <c r="F46" s="5" t="inlineStr">
        <is>
          <t>II</t>
        </is>
      </c>
      <c r="G46" s="5" t="inlineStr">
        <is>
          <t>Os projetos da Agenda Regulatória estão aderentes ao planejamento estratégico vigente e estão correlacionados ao Plano de Gestão Anual;</t>
        </is>
      </c>
      <c r="H46" s="5" t="inlineStr">
        <is>
          <t>Há evidência de que os projetos da Agenda Regulatória estão aderentes ao planejamento estratégico vigente e estão correlacionados ao Plano de Gestão Anual?</t>
        </is>
      </c>
      <c r="I46" s="5" t="inlineStr">
        <is>
          <t>pública</t>
        </is>
      </c>
      <c r="J46" s="5" t="inlineStr">
        <is>
          <t>Documento público (ato/manual publicável)</t>
        </is>
      </c>
      <c r="K46" s="5" t="inlineStr">
        <is>
          <t>Depende de o ato estar publicado; se não estiver, só dado interno.</t>
        </is>
      </c>
      <c r="L46" s="5" t="inlineStr">
        <is>
          <t>Lei 13.848/2019, art. 21</t>
        </is>
      </c>
      <c r="M46" s="5" t="inlineStr">
        <is>
          <t>II – Os projetos da Agenda Regulatória estão aderentes ao planejamento estratégico vigente e estão correlacionados ao Plano de Gestão Anual;</t>
        </is>
      </c>
    </row>
    <row r="47">
      <c r="A47" s="5" t="inlineStr">
        <is>
          <t>AGE.GER.II</t>
        </is>
      </c>
      <c r="B47" s="5" t="n">
        <v>4</v>
      </c>
      <c r="C47" s="5" t="inlineStr">
        <is>
          <t>AGE</t>
        </is>
      </c>
      <c r="D47" s="5" t="inlineStr">
        <is>
          <t>gerenciado</t>
        </is>
      </c>
      <c r="E47" s="5" t="inlineStr">
        <is>
          <t>Gerenciado</t>
        </is>
      </c>
      <c r="F47" s="5" t="inlineStr">
        <is>
          <t>II</t>
        </is>
      </c>
      <c r="G4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7" s="5" t="inlineStr">
        <is>
          <t>Há evidência de que o Ministério Setorial é oficiado, por meio do Ministro e da Secretaria Finalística, quando da abertura do processo de participação social. O Ministério deve oficiar as agências reguladoras vinculadas, visando a integração das agendas?</t>
        </is>
      </c>
      <c r="I47" s="5" t="inlineStr">
        <is>
          <t>pública</t>
        </is>
      </c>
      <c r="J47" s="5" t="inlineStr">
        <is>
          <t>Documento público (ato/manual publicável)</t>
        </is>
      </c>
      <c r="K47" s="5" t="inlineStr">
        <is>
          <t>Depende de o ato estar publicado; se não estiver, só dado interno.</t>
        </is>
      </c>
      <c r="L47" s="5" t="inlineStr">
        <is>
          <t>Lei 13.848/2019, art. 21</t>
        </is>
      </c>
      <c r="M47" s="5" t="inlineStr">
        <is>
          <t>II – O Ministério Setorial é oficiado, por meio do Ministro e da Secretaria Finalística, quando da abertura do processo de participação social. O Ministério deve oficiar as agências reguladoras vinculadas, visando a integração das agendas;</t>
        </is>
      </c>
    </row>
    <row r="48">
      <c r="A48" s="5" t="inlineStr">
        <is>
          <t>AGE.INI.II</t>
        </is>
      </c>
      <c r="B48" s="5" t="n">
        <v>4</v>
      </c>
      <c r="C48" s="5" t="inlineStr">
        <is>
          <t>AGE</t>
        </is>
      </c>
      <c r="D48" s="5" t="inlineStr">
        <is>
          <t>inicial</t>
        </is>
      </c>
      <c r="E48" s="5" t="inlineStr">
        <is>
          <t>Inicial</t>
        </is>
      </c>
      <c r="F48" s="5" t="inlineStr">
        <is>
          <t>II</t>
        </is>
      </c>
      <c r="G48" s="5" t="inlineStr">
        <is>
          <t>É avaliada a aderência da proposta de Agenda às políticas públicas.</t>
        </is>
      </c>
      <c r="H48" s="5" t="inlineStr">
        <is>
          <t>Há evidência de que é avaliada a aderência da proposta de Agenda às políticas públicas?</t>
        </is>
      </c>
      <c r="I48" s="5" t="inlineStr">
        <is>
          <t>pública</t>
        </is>
      </c>
      <c r="J48" s="5" t="inlineStr">
        <is>
          <t>Documento público (ato/manual publicável)</t>
        </is>
      </c>
      <c r="K48" s="5" t="inlineStr">
        <is>
          <t>Depende de o ato estar publicado; se não estiver, só dado interno.</t>
        </is>
      </c>
      <c r="L48" s="5" t="inlineStr">
        <is>
          <t>Lei 13.848/2019, art. 21</t>
        </is>
      </c>
      <c r="M48" s="5" t="inlineStr">
        <is>
          <t>II – É avaliada a aderência da proposta de Agenda às políticas públicas.</t>
        </is>
      </c>
    </row>
    <row r="49">
      <c r="A49" s="5" t="inlineStr">
        <is>
          <t>AGE.MC.III</t>
        </is>
      </c>
      <c r="B49" s="5" t="n">
        <v>4</v>
      </c>
      <c r="C49" s="5" t="inlineStr">
        <is>
          <t>AGE</t>
        </is>
      </c>
      <c r="D49" s="5" t="inlineStr">
        <is>
          <t>melhoria_continua</t>
        </is>
      </c>
      <c r="E49" s="5" t="inlineStr">
        <is>
          <t>Melhoria Contínua</t>
        </is>
      </c>
      <c r="F49" s="5" t="inlineStr">
        <is>
          <t>III</t>
        </is>
      </c>
      <c r="G49" s="5" t="inlineStr">
        <is>
          <t>Cumprimento de, no mínimo, 80% da Agenda Regulatória;</t>
        </is>
      </c>
      <c r="H49" s="5" t="inlineStr">
        <is>
          <t>Há evidência de que cumprimento de, no mínimo, 80% da Agenda Regulatória?</t>
        </is>
      </c>
      <c r="I49" s="5" t="inlineStr">
        <is>
          <t>pública</t>
        </is>
      </c>
      <c r="J49" s="5" t="inlineStr">
        <is>
          <t>Documento público (ato/manual publicável)</t>
        </is>
      </c>
      <c r="K49" s="5" t="inlineStr">
        <is>
          <t>Depende de o ato estar publicado; se não estiver, só dado interno.</t>
        </is>
      </c>
      <c r="L49" s="5" t="inlineStr">
        <is>
          <t>Lei 13.848/2019, art. 21</t>
        </is>
      </c>
      <c r="M49" s="5" t="inlineStr">
        <is>
          <t>III - Cumprimento de, no mínimo, 80% da Agenda Regulatória;</t>
        </is>
      </c>
    </row>
    <row r="50">
      <c r="A50" s="5" t="inlineStr">
        <is>
          <t>AGE.GER.III</t>
        </is>
      </c>
      <c r="B50" s="5" t="n">
        <v>4</v>
      </c>
      <c r="C50" s="5" t="inlineStr">
        <is>
          <t>AGE</t>
        </is>
      </c>
      <c r="D50" s="5" t="inlineStr">
        <is>
          <t>gerenciado</t>
        </is>
      </c>
      <c r="E50" s="5" t="inlineStr">
        <is>
          <t>Gerenciado</t>
        </is>
      </c>
      <c r="F50" s="5" t="inlineStr">
        <is>
          <t>III</t>
        </is>
      </c>
      <c r="G50" s="5" t="inlineStr">
        <is>
          <t>Cumprimento de 50% a 79% da Agenda Regulatória;</t>
        </is>
      </c>
      <c r="H50" s="5" t="inlineStr">
        <is>
          <t>Há evidência de que cumprimento de 50% a 79% da Agenda Regulatória?</t>
        </is>
      </c>
      <c r="I50" s="5" t="inlineStr">
        <is>
          <t>pública</t>
        </is>
      </c>
      <c r="J50" s="5" t="inlineStr">
        <is>
          <t>Documento público (ato/manual publicável)</t>
        </is>
      </c>
      <c r="K50" s="5" t="inlineStr">
        <is>
          <t>Depende de o ato estar publicado; se não estiver, só dado interno.</t>
        </is>
      </c>
      <c r="L50" s="5" t="inlineStr">
        <is>
          <t>Lei 13.848/2019, art. 21</t>
        </is>
      </c>
      <c r="M50" s="5" t="inlineStr">
        <is>
          <t>III – Cumprimento de 50% a 79% da Agenda Regulatória;</t>
        </is>
      </c>
    </row>
    <row r="51">
      <c r="A51" s="5" t="inlineStr">
        <is>
          <t>AGE.MC.IV</t>
        </is>
      </c>
      <c r="B51" s="5" t="n">
        <v>4</v>
      </c>
      <c r="C51" s="5" t="inlineStr">
        <is>
          <t>AGE</t>
        </is>
      </c>
      <c r="D51" s="5" t="inlineStr">
        <is>
          <t>melhoria_continua</t>
        </is>
      </c>
      <c r="E51" s="5" t="inlineStr">
        <is>
          <t>Melhoria Contínua</t>
        </is>
      </c>
      <c r="F51" s="5" t="inlineStr">
        <is>
          <t>IV</t>
        </is>
      </c>
      <c r="G51" s="5" t="inlineStr">
        <is>
          <t>A execução da Agenda Regulatória é periodicamente monitorada e divulgada.</t>
        </is>
      </c>
      <c r="H51" s="5" t="inlineStr">
        <is>
          <t>Há evidência de que a execução da Agenda Regulatória é periodicamente monitorada e divulgada?</t>
        </is>
      </c>
      <c r="I51" s="5" t="inlineStr">
        <is>
          <t>pública</t>
        </is>
      </c>
      <c r="J51" s="5" t="inlineStr">
        <is>
          <t>Documento público</t>
        </is>
      </c>
      <c r="K51" s="5" t="inlineStr"/>
      <c r="L51" s="5" t="inlineStr">
        <is>
          <t>Lei 13.848/2019, art. 21</t>
        </is>
      </c>
      <c r="M51" s="5" t="inlineStr">
        <is>
          <t>IV – A execução da Agenda Regulatória é periodicamente monitorada e divulgada.</t>
        </is>
      </c>
    </row>
    <row r="52">
      <c r="A52" s="5" t="inlineStr">
        <is>
          <t>AGE.GER.IV</t>
        </is>
      </c>
      <c r="B52" s="5" t="n">
        <v>4</v>
      </c>
      <c r="C52" s="5" t="inlineStr">
        <is>
          <t>AGE</t>
        </is>
      </c>
      <c r="D52" s="5" t="inlineStr">
        <is>
          <t>gerenciado</t>
        </is>
      </c>
      <c r="E52" s="5" t="inlineStr">
        <is>
          <t>Gerenciado</t>
        </is>
      </c>
      <c r="F52" s="5" t="inlineStr">
        <is>
          <t>IV</t>
        </is>
      </c>
      <c r="G52" s="5" t="inlineStr">
        <is>
          <t>A execução da Agenda Regulatória é periodicamente monitorada.</t>
        </is>
      </c>
      <c r="H52" s="5" t="inlineStr">
        <is>
          <t>Há evidência de que a execução da Agenda Regulatória é periodicamente monitorada?</t>
        </is>
      </c>
      <c r="I52" s="5" t="inlineStr">
        <is>
          <t>pública</t>
        </is>
      </c>
      <c r="J52" s="5" t="inlineStr">
        <is>
          <t>Documento público (ato/manual publicável)</t>
        </is>
      </c>
      <c r="K52" s="5" t="inlineStr">
        <is>
          <t>Depende de o ato estar publicado; se não estiver, só dado interno.</t>
        </is>
      </c>
      <c r="L52" s="5" t="inlineStr">
        <is>
          <t>Lei 13.848/2019, art. 21</t>
        </is>
      </c>
      <c r="M52" s="5" t="inlineStr">
        <is>
          <t>IV – A execução da Agenda Regulatória é periodicamente monitorada.</t>
        </is>
      </c>
    </row>
    <row r="53">
      <c r="A53" s="5" t="inlineStr">
        <is>
          <t>PRO.MC.I</t>
        </is>
      </c>
      <c r="B53" s="5" t="n">
        <v>5</v>
      </c>
      <c r="C53" s="5" t="inlineStr">
        <is>
          <t>PRO</t>
        </is>
      </c>
      <c r="D53" s="5" t="inlineStr">
        <is>
          <t>melhoria_continua</t>
        </is>
      </c>
      <c r="E53" s="5" t="inlineStr">
        <is>
          <t>Melhoria Contínua</t>
        </is>
      </c>
      <c r="F53" s="5" t="inlineStr">
        <is>
          <t>I</t>
        </is>
      </c>
      <c r="G53" s="5" t="inlineStr">
        <is>
          <t>Indicadores de processo normativo estabelecidos e monitorados;</t>
        </is>
      </c>
      <c r="H53" s="5" t="inlineStr">
        <is>
          <t>Há evidência de que indicadores de processo normativo estabelecidos e monitorados?</t>
        </is>
      </c>
      <c r="I53" s="5" t="inlineStr">
        <is>
          <t>pública</t>
        </is>
      </c>
      <c r="J53" s="5" t="inlineStr">
        <is>
          <t>Documento público (ato/manual publicável)</t>
        </is>
      </c>
      <c r="K53" s="5" t="inlineStr">
        <is>
          <t>Depende de o ato estar publicado; se não estiver, só dado interno.</t>
        </is>
      </c>
      <c r="L53" s="5" t="inlineStr">
        <is>
          <t>Lei 13.848/2019; Decreto 10.411/2020</t>
        </is>
      </c>
      <c r="M53" s="5" t="inlineStr">
        <is>
          <t>I – Indicadores de processo normativo estabelecidos e monitorados;</t>
        </is>
      </c>
    </row>
    <row r="54">
      <c r="A54" s="5" t="inlineStr">
        <is>
          <t>PRO.GER.I</t>
        </is>
      </c>
      <c r="B54" s="5" t="n">
        <v>5</v>
      </c>
      <c r="C54" s="5" t="inlineStr">
        <is>
          <t>PRO</t>
        </is>
      </c>
      <c r="D54" s="5" t="inlineStr">
        <is>
          <t>gerenciado</t>
        </is>
      </c>
      <c r="E54" s="5" t="inlineStr">
        <is>
          <t>Gerenciado</t>
        </is>
      </c>
      <c r="F54" s="5" t="inlineStr">
        <is>
          <t>I</t>
        </is>
      </c>
      <c r="G54" s="5" t="inlineStr">
        <is>
          <t>as intervenções de participação social estão claramente inseridas no processo.</t>
        </is>
      </c>
      <c r="H54" s="5" t="inlineStr">
        <is>
          <t>Há evidência de que as intervenções de participação social estão claramente inseridas no processo?</t>
        </is>
      </c>
      <c r="I54" s="5" t="inlineStr">
        <is>
          <t>interna</t>
        </is>
      </c>
      <c r="J54" s="5" t="inlineStr">
        <is>
          <t>Dado interno</t>
        </is>
      </c>
      <c r="K54" s="5" t="inlineStr">
        <is>
          <t>Prática de gestão sem documento público típico (ex.: monitoramento, integração ao planejamento).</t>
        </is>
      </c>
      <c r="L54" s="5" t="inlineStr">
        <is>
          <t>Lei 13.848/2019; Decreto 10.411/2020</t>
        </is>
      </c>
      <c r="M54" s="5" t="inlineStr">
        <is>
          <t>I - as intervenções de participação social estão claramente inseridas no processo.</t>
        </is>
      </c>
    </row>
    <row r="55">
      <c r="A55" s="5" t="inlineStr">
        <is>
          <t>PRO.INI.I</t>
        </is>
      </c>
      <c r="B55" s="5" t="n">
        <v>5</v>
      </c>
      <c r="C55" s="5" t="inlineStr">
        <is>
          <t>PRO</t>
        </is>
      </c>
      <c r="D55" s="5" t="inlineStr">
        <is>
          <t>inicial</t>
        </is>
      </c>
      <c r="E55" s="5" t="inlineStr">
        <is>
          <t>Inicial</t>
        </is>
      </c>
      <c r="F55" s="5" t="inlineStr">
        <is>
          <t>I</t>
        </is>
      </c>
      <c r="G55" s="5" t="inlineStr">
        <is>
          <t>O fluxo do processo normativo é formalizado de forma bem definida e clara;</t>
        </is>
      </c>
      <c r="H55" s="5" t="inlineStr">
        <is>
          <t>Há evidência de que o fluxo do processo normativo é formalizado de forma bem definida e clara?</t>
        </is>
      </c>
      <c r="I55" s="5" t="inlineStr">
        <is>
          <t>pública</t>
        </is>
      </c>
      <c r="J55" s="5" t="inlineStr">
        <is>
          <t>Documento público (ato/manual publicável)</t>
        </is>
      </c>
      <c r="K55" s="5" t="inlineStr">
        <is>
          <t>Depende de o ato estar publicado; se não estiver, só dado interno.</t>
        </is>
      </c>
      <c r="L55" s="5" t="inlineStr">
        <is>
          <t>Lei 13.848/2019; Decreto 10.411/2020</t>
        </is>
      </c>
      <c r="M55" s="5" t="inlineStr">
        <is>
          <t>I – O fluxo do processo normativo é formalizado de forma bem definida e clara;</t>
        </is>
      </c>
    </row>
    <row r="56">
      <c r="A56" s="5" t="inlineStr">
        <is>
          <t>PRO.MC.II</t>
        </is>
      </c>
      <c r="B56" s="5" t="n">
        <v>5</v>
      </c>
      <c r="C56" s="5" t="inlineStr">
        <is>
          <t>PRO</t>
        </is>
      </c>
      <c r="D56" s="5" t="inlineStr">
        <is>
          <t>melhoria_continua</t>
        </is>
      </c>
      <c r="E56" s="5" t="inlineStr">
        <is>
          <t>Melhoria Contínua</t>
        </is>
      </c>
      <c r="F56" s="5" t="inlineStr">
        <is>
          <t>II</t>
        </is>
      </c>
      <c r="G56" s="5" t="inlineStr">
        <is>
          <t>Há processo contínuo de avaliação e melhoria do processo normativo, utilizando o resultado dos indicadores.</t>
        </is>
      </c>
      <c r="H56" s="5" t="inlineStr">
        <is>
          <t>Há evidência de que há processo contínuo de avaliação e melhoria do processo normativo, utilizando o resultado dos indicadores?</t>
        </is>
      </c>
      <c r="I56" s="5" t="inlineStr">
        <is>
          <t>pública</t>
        </is>
      </c>
      <c r="J56" s="5" t="inlineStr">
        <is>
          <t>Documento público (ato/manual publicável)</t>
        </is>
      </c>
      <c r="K56" s="5" t="inlineStr">
        <is>
          <t>Depende de o ato estar publicado; se não estiver, só dado interno.</t>
        </is>
      </c>
      <c r="L56" s="5" t="inlineStr">
        <is>
          <t>Lei 13.848/2019; Decreto 10.411/2020</t>
        </is>
      </c>
      <c r="M56" s="5" t="inlineStr">
        <is>
          <t>II – Há processo contínuo de avaliação e melhoria do processo normativo, utilizando o resultado dos indicadores.</t>
        </is>
      </c>
    </row>
    <row r="57">
      <c r="A57" s="5" t="inlineStr">
        <is>
          <t>PRO.INI.II</t>
        </is>
      </c>
      <c r="B57" s="5" t="n">
        <v>5</v>
      </c>
      <c r="C57" s="5" t="inlineStr">
        <is>
          <t>PRO</t>
        </is>
      </c>
      <c r="D57" s="5" t="inlineStr">
        <is>
          <t>inicial</t>
        </is>
      </c>
      <c r="E57" s="5" t="inlineStr">
        <is>
          <t>Inicial</t>
        </is>
      </c>
      <c r="F57" s="5" t="inlineStr">
        <is>
          <t>II</t>
        </is>
      </c>
      <c r="G57" s="5" t="inlineStr">
        <is>
          <t>As instâncias de aprovação estabelecidas são claras e formalizadas.</t>
        </is>
      </c>
      <c r="H57" s="5" t="inlineStr">
        <is>
          <t>Há evidência de que as instâncias de aprovação estabelecidas são claras e formalizadas?</t>
        </is>
      </c>
      <c r="I57" s="5" t="inlineStr">
        <is>
          <t>pública</t>
        </is>
      </c>
      <c r="J57" s="5" t="inlineStr">
        <is>
          <t>Documento público (ato/manual publicável)</t>
        </is>
      </c>
      <c r="K57" s="5" t="inlineStr">
        <is>
          <t>Depende de o ato estar publicado; se não estiver, só dado interno.</t>
        </is>
      </c>
      <c r="L57" s="5" t="inlineStr">
        <is>
          <t>Lei 13.848/2019; Decreto 10.411/2020</t>
        </is>
      </c>
      <c r="M57" s="5" t="inlineStr">
        <is>
          <t>II – As instâncias de aprovação estabelecidas são claras e formalizadas.</t>
        </is>
      </c>
    </row>
    <row r="58">
      <c r="A58" s="5" t="inlineStr">
        <is>
          <t>ARR_CAP.MC.I</t>
        </is>
      </c>
      <c r="B58" s="5" t="n">
        <v>6</v>
      </c>
      <c r="C58" s="5" t="inlineStr">
        <is>
          <t>ARR_CAP</t>
        </is>
      </c>
      <c r="D58" s="5" t="inlineStr">
        <is>
          <t>melhoria_continua</t>
        </is>
      </c>
      <c r="E58" s="5" t="inlineStr">
        <is>
          <t>Melhoria Contínua</t>
        </is>
      </c>
      <c r="F58" s="5" t="inlineStr">
        <is>
          <t>I</t>
        </is>
      </c>
      <c r="G58" s="5" t="inlineStr">
        <is>
          <t>Plano de capacitação formalizado e em execução, incluindo permanente reciclagem em ARR;</t>
        </is>
      </c>
      <c r="H58" s="5" t="inlineStr">
        <is>
          <t>Há evidência de que plano de capacitação formalizado e em execução, incluindo permanente reciclagem em ARR?</t>
        </is>
      </c>
      <c r="I58" s="5" t="inlineStr">
        <is>
          <t>interna</t>
        </is>
      </c>
      <c r="J58" s="5" t="inlineStr">
        <is>
          <t>Dado interno</t>
        </is>
      </c>
      <c r="K58" s="5" t="inlineStr">
        <is>
          <t>Capacitação é dado de RH do órgão; não há documento público que a comprove por si.</t>
        </is>
      </c>
      <c r="L58" s="5" t="inlineStr">
        <is>
          <t>Decreto 10.411/2020 (ARR) — artigo a conferir</t>
        </is>
      </c>
      <c r="M58" s="5" t="inlineStr">
        <is>
          <t>I – Plano de capacitação formalizado e em execução, incluindo permanente reciclagem em ARR;</t>
        </is>
      </c>
    </row>
    <row r="59">
      <c r="A59" s="5" t="inlineStr">
        <is>
          <t>ARR_CAP.GER.I</t>
        </is>
      </c>
      <c r="B59" s="5" t="n">
        <v>6</v>
      </c>
      <c r="C59" s="5" t="inlineStr">
        <is>
          <t>ARR_CAP</t>
        </is>
      </c>
      <c r="D59" s="5" t="inlineStr">
        <is>
          <t>gerenciado</t>
        </is>
      </c>
      <c r="E59" s="5" t="inlineStr">
        <is>
          <t>Gerenciado</t>
        </is>
      </c>
      <c r="F59" s="5" t="inlineStr">
        <is>
          <t>I</t>
        </is>
      </c>
      <c r="G59" s="5" t="inlineStr">
        <is>
          <t>Capacitações institucionalizadas, sem um plano formalizado;</t>
        </is>
      </c>
      <c r="H59" s="5" t="inlineStr">
        <is>
          <t>Há evidência de que capacitações institucionalizadas, sem um plano formalizado?</t>
        </is>
      </c>
      <c r="I59" s="5" t="inlineStr">
        <is>
          <t>interna</t>
        </is>
      </c>
      <c r="J59" s="5" t="inlineStr">
        <is>
          <t>Dado interno</t>
        </is>
      </c>
      <c r="K59" s="5" t="inlineStr">
        <is>
          <t>Capacitação é dado de RH do órgão; não há documento público que a comprove por si.</t>
        </is>
      </c>
      <c r="L59" s="5" t="inlineStr">
        <is>
          <t>Decreto 10.411/2020 (ARR) — artigo a conferir</t>
        </is>
      </c>
      <c r="M59" s="5" t="inlineStr">
        <is>
          <t>I – Capacitações institucionalizadas, sem um plano formalizado;</t>
        </is>
      </c>
    </row>
    <row r="60">
      <c r="A60" s="5" t="inlineStr">
        <is>
          <t>ARR_CAP.INI.I</t>
        </is>
      </c>
      <c r="B60" s="5" t="n">
        <v>6</v>
      </c>
      <c r="C60" s="5" t="inlineStr">
        <is>
          <t>ARR_CAP</t>
        </is>
      </c>
      <c r="D60" s="5" t="inlineStr">
        <is>
          <t>inicial</t>
        </is>
      </c>
      <c r="E60" s="5" t="inlineStr">
        <is>
          <t>Inicial</t>
        </is>
      </c>
      <c r="F60" s="5" t="inlineStr">
        <is>
          <t>I</t>
        </is>
      </c>
      <c r="G60" s="5" t="inlineStr">
        <is>
          <t>Capacitações não estão institucionalizadas;</t>
        </is>
      </c>
      <c r="H60" s="5" t="inlineStr">
        <is>
          <t>Há evidência de que capacitações não estão institucionalizadas?</t>
        </is>
      </c>
      <c r="I60" s="5" t="inlineStr">
        <is>
          <t>interna</t>
        </is>
      </c>
      <c r="J60" s="5" t="inlineStr">
        <is>
          <t>Dado interno</t>
        </is>
      </c>
      <c r="K60" s="5" t="inlineStr">
        <is>
          <t>Capacitação é dado de RH do órgão; não há documento público que a comprove por si.</t>
        </is>
      </c>
      <c r="L60" s="5" t="inlineStr">
        <is>
          <t>Decreto 10.411/2020 (ARR) — artigo a conferir</t>
        </is>
      </c>
      <c r="M60" s="5" t="inlineStr">
        <is>
          <t>I – Capacitações não estão institucionalizadas;</t>
        </is>
      </c>
    </row>
    <row r="61">
      <c r="A61" s="5" t="inlineStr">
        <is>
          <t>ARR_CAP.MC.II</t>
        </is>
      </c>
      <c r="B61" s="5" t="n">
        <v>6</v>
      </c>
      <c r="C61" s="5" t="inlineStr">
        <is>
          <t>ARR_CAP</t>
        </is>
      </c>
      <c r="D61" s="5" t="inlineStr">
        <is>
          <t>melhoria_continua</t>
        </is>
      </c>
      <c r="E61" s="5" t="inlineStr">
        <is>
          <t>Melhoria Contínua</t>
        </is>
      </c>
      <c r="F61" s="5" t="inlineStr">
        <is>
          <t>II</t>
        </is>
      </c>
      <c r="G61" s="5" t="inlineStr">
        <is>
          <t>No mínimo, 75% dos servidores envolvidos em elaboração de regulação capacitados em ARR.</t>
        </is>
      </c>
      <c r="H61" s="5" t="inlineStr">
        <is>
          <t>Há evidência de que no mínimo, 75% dos servidores envolvidos em elaboração de regulação capacitados em ARR?</t>
        </is>
      </c>
      <c r="I61" s="5" t="inlineStr">
        <is>
          <t>interna</t>
        </is>
      </c>
      <c r="J61" s="5" t="inlineStr">
        <is>
          <t>Indicador numérico</t>
        </is>
      </c>
      <c r="K61" s="5" t="inlineStr">
        <is>
          <t>Capacitação é dado de RH do órgão; não há documento público que a comprove por si.</t>
        </is>
      </c>
      <c r="L61" s="5" t="inlineStr">
        <is>
          <t>Decreto 10.411/2020 (ARR) — artigo a conferir</t>
        </is>
      </c>
      <c r="M61" s="5" t="inlineStr">
        <is>
          <t>II – No mínimo, 75% dos servidores envolvidos em elaboração de regulação capacitados em ARR.</t>
        </is>
      </c>
    </row>
    <row r="62">
      <c r="A62" s="5" t="inlineStr">
        <is>
          <t>ARR_CAP.GER.II</t>
        </is>
      </c>
      <c r="B62" s="5" t="n">
        <v>6</v>
      </c>
      <c r="C62" s="5" t="inlineStr">
        <is>
          <t>ARR_CAP</t>
        </is>
      </c>
      <c r="D62" s="5" t="inlineStr">
        <is>
          <t>gerenciado</t>
        </is>
      </c>
      <c r="E62" s="5" t="inlineStr">
        <is>
          <t>Gerenciado</t>
        </is>
      </c>
      <c r="F62" s="5" t="inlineStr">
        <is>
          <t>II</t>
        </is>
      </c>
      <c r="G62" s="5" t="inlineStr">
        <is>
          <t>de 50% a 74% dos servidores envolvidos em elaboração de regulação capacitados em ARR;</t>
        </is>
      </c>
      <c r="H62" s="5" t="inlineStr">
        <is>
          <t>Há evidência de que de 50% a 74% dos servidores envolvidos em elaboração de regulação capacitados em ARR?</t>
        </is>
      </c>
      <c r="I62" s="5" t="inlineStr">
        <is>
          <t>interna</t>
        </is>
      </c>
      <c r="J62" s="5" t="inlineStr">
        <is>
          <t>Indicador numérico</t>
        </is>
      </c>
      <c r="K62" s="5" t="inlineStr">
        <is>
          <t>Capacitação é dado de RH do órgão; não há documento público que a comprove por si.</t>
        </is>
      </c>
      <c r="L62" s="5" t="inlineStr">
        <is>
          <t>Decreto 10.411/2020 (ARR) — artigo a conferir</t>
        </is>
      </c>
      <c r="M62" s="5" t="inlineStr">
        <is>
          <t>II – de 50% a 74% dos servidores envolvidos em elaboração de regulação capacitados em ARR;</t>
        </is>
      </c>
    </row>
    <row r="63">
      <c r="A63" s="5" t="inlineStr">
        <is>
          <t>ARR_CAP.INI.II</t>
        </is>
      </c>
      <c r="B63" s="5" t="n">
        <v>6</v>
      </c>
      <c r="C63" s="5" t="inlineStr">
        <is>
          <t>ARR_CAP</t>
        </is>
      </c>
      <c r="D63" s="5" t="inlineStr">
        <is>
          <t>inicial</t>
        </is>
      </c>
      <c r="E63" s="5" t="inlineStr">
        <is>
          <t>Inicial</t>
        </is>
      </c>
      <c r="F63" s="5" t="inlineStr">
        <is>
          <t>II</t>
        </is>
      </c>
      <c r="G63" s="5" t="inlineStr">
        <is>
          <t>de 25% a 49% dos servidores envolvidos em elaboração de regulação capacitados em ARR.</t>
        </is>
      </c>
      <c r="H63" s="5" t="inlineStr">
        <is>
          <t>Há evidência de que de 25% a 49% dos servidores envolvidos em elaboração de regulação capacitados em ARR?</t>
        </is>
      </c>
      <c r="I63" s="5" t="inlineStr">
        <is>
          <t>interna</t>
        </is>
      </c>
      <c r="J63" s="5" t="inlineStr">
        <is>
          <t>Indicador numérico</t>
        </is>
      </c>
      <c r="K63" s="5" t="inlineStr">
        <is>
          <t>Capacitação é dado de RH do órgão; não há documento público que a comprove por si.</t>
        </is>
      </c>
      <c r="L63" s="5" t="inlineStr">
        <is>
          <t>Decreto 10.411/2020 (ARR) — artigo a conferir</t>
        </is>
      </c>
      <c r="M63" s="5" t="inlineStr">
        <is>
          <t>II – de 25% a 49% dos servidores envolvidos em elaboração de regulação capacitados em ARR.</t>
        </is>
      </c>
    </row>
    <row r="64">
      <c r="A64" s="5" t="inlineStr">
        <is>
          <t>ARR_MET.MC.I</t>
        </is>
      </c>
      <c r="B64" s="5" t="n">
        <v>6</v>
      </c>
      <c r="C64" s="5" t="inlineStr">
        <is>
          <t>ARR_MET</t>
        </is>
      </c>
      <c r="D64" s="5" t="inlineStr">
        <is>
          <t>melhoria_continua</t>
        </is>
      </c>
      <c r="E64" s="5" t="inlineStr">
        <is>
          <t>Melhoria Contínua</t>
        </is>
      </c>
      <c r="F64" s="5" t="inlineStr">
        <is>
          <t>I</t>
        </is>
      </c>
      <c r="G64" s="5" t="inlineStr">
        <is>
          <t>Metodologia de elaboração de ARR contempla a participação social, conforme complexidade do ato;</t>
        </is>
      </c>
      <c r="H64" s="5" t="inlineStr">
        <is>
          <t>Há evidência de que metodologia de elaboração de ARR contempla a participação social, conforme complexidade do ato?</t>
        </is>
      </c>
      <c r="I64" s="5" t="inlineStr">
        <is>
          <t>pública</t>
        </is>
      </c>
      <c r="J64" s="5" t="inlineStr">
        <is>
          <t>Documento público (ato/manual publicável)</t>
        </is>
      </c>
      <c r="K64" s="5" t="inlineStr">
        <is>
          <t>Depende de o ato estar publicado; se não estiver, só dado interno.</t>
        </is>
      </c>
      <c r="L64" s="5" t="inlineStr">
        <is>
          <t>Decreto 10.411/2020 (ARR) — artigo a conferir</t>
        </is>
      </c>
      <c r="M64" s="5" t="inlineStr">
        <is>
          <t>I – Metodologia de elaboração de ARR contempla a participação social, conforme complexidade do ato;</t>
        </is>
      </c>
    </row>
    <row r="65">
      <c r="A65" s="5" t="inlineStr">
        <is>
          <t>ARR_MET.GER.I</t>
        </is>
      </c>
      <c r="B65" s="5" t="n">
        <v>6</v>
      </c>
      <c r="C65" s="5" t="inlineStr">
        <is>
          <t>ARR_MET</t>
        </is>
      </c>
      <c r="D65" s="5" t="inlineStr">
        <is>
          <t>gerenciado</t>
        </is>
      </c>
      <c r="E65" s="5" t="inlineStr">
        <is>
          <t>Gerenciado</t>
        </is>
      </c>
      <c r="F65" s="5" t="inlineStr">
        <is>
          <t>I</t>
        </is>
      </c>
      <c r="G65" s="5" t="inlineStr">
        <is>
          <t>Existência de manual ou ato normativo instituindo a aplicabilidade de ARR no órgão;</t>
        </is>
      </c>
      <c r="H65" s="5" t="inlineStr">
        <is>
          <t>Há evidência de que existência de manual ou ato normativo instituindo a aplicabilidade de ARR no órgão?</t>
        </is>
      </c>
      <c r="I65" s="5" t="inlineStr">
        <is>
          <t>pública</t>
        </is>
      </c>
      <c r="J65" s="5" t="inlineStr">
        <is>
          <t>Documento público (ato/manual publicável)</t>
        </is>
      </c>
      <c r="K65" s="5" t="inlineStr">
        <is>
          <t>Depende de o ato estar publicado; se não estiver, só dado interno.</t>
        </is>
      </c>
      <c r="L65" s="5" t="inlineStr">
        <is>
          <t>Decreto 10.411/2020 (ARR) — artigo a conferir</t>
        </is>
      </c>
      <c r="M65" s="5" t="inlineStr">
        <is>
          <t>I – Existência de manual ou ato normativo instituindo a aplicabilidade de ARR no órgão;</t>
        </is>
      </c>
    </row>
    <row r="66">
      <c r="A66" s="5" t="inlineStr">
        <is>
          <t>ARR_MET.INI.I</t>
        </is>
      </c>
      <c r="B66" s="5" t="n">
        <v>6</v>
      </c>
      <c r="C66" s="5" t="inlineStr">
        <is>
          <t>ARR_MET</t>
        </is>
      </c>
      <c r="D66" s="5" t="inlineStr">
        <is>
          <t>inicial</t>
        </is>
      </c>
      <c r="E66" s="5" t="inlineStr">
        <is>
          <t>Inicial</t>
        </is>
      </c>
      <c r="F66" s="5" t="inlineStr">
        <is>
          <t>I</t>
        </is>
      </c>
      <c r="G66" s="5" t="inlineStr">
        <is>
          <t>existe Agenda de ARR, conforme determinado no Decreto nº 10.411, de 2020.</t>
        </is>
      </c>
      <c r="H66" s="5" t="inlineStr">
        <is>
          <t>Há evidência de que existe Agenda de ARR, conforme determinado no Decreto nº 10.411, de 2020?</t>
        </is>
      </c>
      <c r="I66" s="5" t="inlineStr">
        <is>
          <t>pública</t>
        </is>
      </c>
      <c r="J66" s="5" t="inlineStr">
        <is>
          <t>Documento público (ato/manual publicável)</t>
        </is>
      </c>
      <c r="K66" s="5" t="inlineStr">
        <is>
          <t>Depende de o ato estar publicado; se não estiver, só dado interno.</t>
        </is>
      </c>
      <c r="L66" s="5" t="inlineStr">
        <is>
          <t>Decreto 10.411/2020 (ARR) — artigo a conferir</t>
        </is>
      </c>
      <c r="M66" s="5" t="inlineStr">
        <is>
          <t>I - existe Agenda de ARR, conforme determinado no Decreto nº 10.411, de 2020.</t>
        </is>
      </c>
    </row>
    <row r="67">
      <c r="A67" s="5" t="inlineStr">
        <is>
          <t>ARR_MET.MC.II</t>
        </is>
      </c>
      <c r="B67" s="5" t="n">
        <v>6</v>
      </c>
      <c r="C67" s="5" t="inlineStr">
        <is>
          <t>ARR_MET</t>
        </is>
      </c>
      <c r="D67" s="5" t="inlineStr">
        <is>
          <t>melhoria_continua</t>
        </is>
      </c>
      <c r="E67" s="5" t="inlineStr">
        <is>
          <t>Melhoria Contínua</t>
        </is>
      </c>
      <c r="F67" s="5" t="inlineStr">
        <is>
          <t>II</t>
        </is>
      </c>
      <c r="G67" s="5" t="inlineStr">
        <is>
          <t>Existência de Agenda de ARR integrada com a Agenda Regulatória.</t>
        </is>
      </c>
      <c r="H67" s="5" t="inlineStr">
        <is>
          <t>Há evidência de que existência de Agenda de ARR integrada com a Agenda Regulatória?</t>
        </is>
      </c>
      <c r="I67" s="5" t="inlineStr">
        <is>
          <t>pública</t>
        </is>
      </c>
      <c r="J67" s="5" t="inlineStr">
        <is>
          <t>Documento público (ato/manual publicável)</t>
        </is>
      </c>
      <c r="K67" s="5" t="inlineStr">
        <is>
          <t>Depende de o ato estar publicado; se não estiver, só dado interno.</t>
        </is>
      </c>
      <c r="L67" s="5" t="inlineStr">
        <is>
          <t>Decreto 10.411/2020 (ARR) — artigo a conferir</t>
        </is>
      </c>
      <c r="M67" s="5" t="inlineStr">
        <is>
          <t>II – Existência de Agenda de ARR integrada com a Agenda Regulatória.</t>
        </is>
      </c>
    </row>
    <row r="68">
      <c r="A68" s="5" t="inlineStr">
        <is>
          <t>ARR_MET.GER.II</t>
        </is>
      </c>
      <c r="B68" s="5" t="n">
        <v>6</v>
      </c>
      <c r="C68" s="5" t="inlineStr">
        <is>
          <t>ARR_MET</t>
        </is>
      </c>
      <c r="D68" s="5" t="inlineStr">
        <is>
          <t>gerenciado</t>
        </is>
      </c>
      <c r="E68" s="5" t="inlineStr">
        <is>
          <t>Gerenciado</t>
        </is>
      </c>
      <c r="F68" s="5" t="inlineStr">
        <is>
          <t>II</t>
        </is>
      </c>
      <c r="G68" s="5" t="inlineStr">
        <is>
          <t>Metodologia de elaboração da Agenda de ARR contempla participação social.</t>
        </is>
      </c>
      <c r="H68" s="5" t="inlineStr">
        <is>
          <t>Há evidência de que metodologia de elaboração da Agenda de ARR contempla participação social?</t>
        </is>
      </c>
      <c r="I68" s="5" t="inlineStr">
        <is>
          <t>pública</t>
        </is>
      </c>
      <c r="J68" s="5" t="inlineStr">
        <is>
          <t>Documento público (ato/manual publicável)</t>
        </is>
      </c>
      <c r="K68" s="5" t="inlineStr">
        <is>
          <t>Depende de o ato estar publicado; se não estiver, só dado interno.</t>
        </is>
      </c>
      <c r="L68" s="5" t="inlineStr">
        <is>
          <t>Decreto 10.411/2020 (ARR) — artigo a conferir</t>
        </is>
      </c>
      <c r="M68" s="5" t="inlineStr">
        <is>
          <t>II – Metodologia de elaboração da Agenda de ARR contempla participação social.</t>
        </is>
      </c>
    </row>
    <row r="69">
      <c r="A69" s="5" t="inlineStr">
        <is>
          <t>ARR_PRO.MC.I</t>
        </is>
      </c>
      <c r="B69" s="5" t="n">
        <v>6</v>
      </c>
      <c r="C69" s="5" t="inlineStr">
        <is>
          <t>ARR_PRO</t>
        </is>
      </c>
      <c r="D69" s="5" t="inlineStr">
        <is>
          <t>melhoria_continua</t>
        </is>
      </c>
      <c r="E69" s="5" t="inlineStr">
        <is>
          <t>Melhoria Contínua</t>
        </is>
      </c>
      <c r="F69" s="5" t="inlineStr">
        <is>
          <t>I</t>
        </is>
      </c>
      <c r="G69" s="5" t="inlineStr">
        <is>
          <t>Há processo contínuo de avaliação e melhoria do processo de elaboração de ARR;</t>
        </is>
      </c>
      <c r="H69" s="5" t="inlineStr">
        <is>
          <t>Há evidência de que há processo contínuo de avaliação e melhoria do processo de elaboração de ARR?</t>
        </is>
      </c>
      <c r="I69" s="5" t="inlineStr">
        <is>
          <t>interna</t>
        </is>
      </c>
      <c r="J69" s="5" t="inlineStr">
        <is>
          <t>Dado interno</t>
        </is>
      </c>
      <c r="K69" s="5" t="inlineStr">
        <is>
          <t>Prática de gestão sem documento público típico (ex.: monitoramento, integração ao planejamento).</t>
        </is>
      </c>
      <c r="L69" s="5" t="inlineStr">
        <is>
          <t>Decreto 10.411/2020 (ARR) — artigo a conferir</t>
        </is>
      </c>
      <c r="M69" s="5" t="inlineStr">
        <is>
          <t>I – Há processo contínuo de avaliação e melhoria do processo de elaboração de ARR;</t>
        </is>
      </c>
    </row>
    <row r="70">
      <c r="A70" s="5" t="inlineStr">
        <is>
          <t>ARR_PRO.GER.I</t>
        </is>
      </c>
      <c r="B70" s="5" t="n">
        <v>6</v>
      </c>
      <c r="C70" s="5" t="inlineStr">
        <is>
          <t>ARR_PRO</t>
        </is>
      </c>
      <c r="D70" s="5" t="inlineStr">
        <is>
          <t>gerenciado</t>
        </is>
      </c>
      <c r="E70" s="5" t="inlineStr">
        <is>
          <t>Gerenciado</t>
        </is>
      </c>
      <c r="F70" s="5" t="inlineStr">
        <is>
          <t>I</t>
        </is>
      </c>
      <c r="G70" s="5" t="inlineStr">
        <is>
          <t>ARR é realizada conforme manual ou ato normativo;</t>
        </is>
      </c>
      <c r="H70" s="5" t="inlineStr">
        <is>
          <t>Há evidência de que aRR é realizada conforme manual ou ato normativo?</t>
        </is>
      </c>
      <c r="I70" s="5" t="inlineStr">
        <is>
          <t>pública</t>
        </is>
      </c>
      <c r="J70" s="5" t="inlineStr">
        <is>
          <t>Documento público (ato/manual publicável)</t>
        </is>
      </c>
      <c r="K70" s="5" t="inlineStr">
        <is>
          <t>Depende de o ato estar publicado; se não estiver, só dado interno.</t>
        </is>
      </c>
      <c r="L70" s="5" t="inlineStr">
        <is>
          <t>Decreto 10.411/2020 (ARR) — artigo a conferir</t>
        </is>
      </c>
      <c r="M70" s="5" t="inlineStr">
        <is>
          <t>I – ARR é realizada conforme manual ou ato normativo;</t>
        </is>
      </c>
    </row>
    <row r="71">
      <c r="A71" s="5" t="inlineStr">
        <is>
          <t>ARR_PRO.INI.I</t>
        </is>
      </c>
      <c r="B71" s="5" t="n">
        <v>6</v>
      </c>
      <c r="C71" s="5" t="inlineStr">
        <is>
          <t>ARR_PRO</t>
        </is>
      </c>
      <c r="D71" s="5" t="inlineStr">
        <is>
          <t>inicial</t>
        </is>
      </c>
      <c r="E71" s="5" t="inlineStr">
        <is>
          <t>Inicial</t>
        </is>
      </c>
      <c r="F71" s="5" t="inlineStr">
        <is>
          <t>I</t>
        </is>
      </c>
      <c r="G71" s="5" t="inlineStr">
        <is>
          <t>Todas as ARRs são publicadas e acessíveis ao público na internet;</t>
        </is>
      </c>
      <c r="H71" s="5" t="inlineStr">
        <is>
          <t>Há evidência de que todas as ARRs são publicadas e acessíveis ao público na internet?</t>
        </is>
      </c>
      <c r="I71" s="5" t="inlineStr">
        <is>
          <t>pública</t>
        </is>
      </c>
      <c r="J71" s="5" t="inlineStr">
        <is>
          <t>Documento público</t>
        </is>
      </c>
      <c r="K71" s="5" t="inlineStr"/>
      <c r="L71" s="5" t="inlineStr">
        <is>
          <t>Decreto 10.411/2020 (ARR) — artigo a conferir</t>
        </is>
      </c>
      <c r="M71" s="5" t="inlineStr">
        <is>
          <t>I – Todas as ARRs são publicadas e acessíveis ao público na internet;</t>
        </is>
      </c>
    </row>
    <row r="72">
      <c r="A72" s="5" t="inlineStr">
        <is>
          <t>ARR_PRO.MC.II</t>
        </is>
      </c>
      <c r="B72" s="5" t="n">
        <v>6</v>
      </c>
      <c r="C72" s="5" t="inlineStr">
        <is>
          <t>ARR_PRO</t>
        </is>
      </c>
      <c r="D72" s="5" t="inlineStr">
        <is>
          <t>melhoria_continua</t>
        </is>
      </c>
      <c r="E72" s="5" t="inlineStr">
        <is>
          <t>Melhoria Contínua</t>
        </is>
      </c>
      <c r="F72" s="5" t="inlineStr">
        <is>
          <t>II</t>
        </is>
      </c>
      <c r="G72" s="5" t="inlineStr">
        <is>
          <t>A execução da Agenda de ARR é periodicamente monitorada e divulgada.</t>
        </is>
      </c>
      <c r="H72" s="5" t="inlineStr">
        <is>
          <t>Há evidência de que a execução da Agenda de ARR é periodicamente monitorada e divulgada?</t>
        </is>
      </c>
      <c r="I72" s="5" t="inlineStr">
        <is>
          <t>pública</t>
        </is>
      </c>
      <c r="J72" s="5" t="inlineStr">
        <is>
          <t>Documento público</t>
        </is>
      </c>
      <c r="K72" s="5" t="inlineStr"/>
      <c r="L72" s="5" t="inlineStr">
        <is>
          <t>Decreto 10.411/2020 (ARR) — artigo a conferir</t>
        </is>
      </c>
      <c r="M72" s="5" t="inlineStr">
        <is>
          <t>II – A execução da Agenda de ARR é periodicamente monitorada e divulgada.</t>
        </is>
      </c>
    </row>
    <row r="73">
      <c r="A73" s="5" t="inlineStr">
        <is>
          <t>ARR_PRO.GER.II</t>
        </is>
      </c>
      <c r="B73" s="5" t="n">
        <v>6</v>
      </c>
      <c r="C73" s="5" t="inlineStr">
        <is>
          <t>ARR_PRO</t>
        </is>
      </c>
      <c r="D73" s="5" t="inlineStr">
        <is>
          <t>gerenciado</t>
        </is>
      </c>
      <c r="E73" s="5" t="inlineStr">
        <is>
          <t>Gerenciado</t>
        </is>
      </c>
      <c r="F73" s="5" t="inlineStr">
        <is>
          <t>II</t>
        </is>
      </c>
      <c r="G73" s="5" t="inlineStr">
        <is>
          <t>ARRs de alto impacto/alta complexidade foram submetidas à participação social.</t>
        </is>
      </c>
      <c r="H73" s="5" t="inlineStr">
        <is>
          <t>Há evidência de que aRRs de alto impacto/alta complexidade foram submetidas à participação social?</t>
        </is>
      </c>
      <c r="I73" s="5" t="inlineStr">
        <is>
          <t>interna</t>
        </is>
      </c>
      <c r="J73" s="5" t="inlineStr">
        <is>
          <t>Dado interno</t>
        </is>
      </c>
      <c r="K73" s="5" t="inlineStr">
        <is>
          <t>Prática de gestão sem documento público típico (ex.: monitoramento, integração ao planejamento).</t>
        </is>
      </c>
      <c r="L73" s="5" t="inlineStr">
        <is>
          <t>Decreto 10.411/2020 (ARR) — artigo a conferir</t>
        </is>
      </c>
      <c r="M73" s="5" t="inlineStr">
        <is>
          <t>II – ARRs de alto impacto/alta complexidade foram submetidas à participação social.</t>
        </is>
      </c>
    </row>
    <row r="74">
      <c r="A74" s="5" t="inlineStr">
        <is>
          <t>ARR_PRO.INI.II</t>
        </is>
      </c>
      <c r="B74" s="5" t="n">
        <v>6</v>
      </c>
      <c r="C74" s="5" t="inlineStr">
        <is>
          <t>ARR_PRO</t>
        </is>
      </c>
      <c r="D74" s="5" t="inlineStr">
        <is>
          <t>inicial</t>
        </is>
      </c>
      <c r="E74" s="5" t="inlineStr">
        <is>
          <t>Inicial</t>
        </is>
      </c>
      <c r="F74" s="5" t="inlineStr">
        <is>
          <t>II</t>
        </is>
      </c>
      <c r="G74" s="5" t="inlineStr">
        <is>
          <t>A agenda de ARR está publicada no site do órgão.</t>
        </is>
      </c>
      <c r="H74" s="5" t="inlineStr">
        <is>
          <t>Há evidência de que a agenda de ARR está publicada no site do órgão?</t>
        </is>
      </c>
      <c r="I74" s="5" t="inlineStr">
        <is>
          <t>pública</t>
        </is>
      </c>
      <c r="J74" s="5" t="inlineStr">
        <is>
          <t>Documento público</t>
        </is>
      </c>
      <c r="K74" s="5" t="inlineStr"/>
      <c r="L74" s="5" t="inlineStr">
        <is>
          <t>Decreto 10.411/2020 (ARR) — artigo a conferir</t>
        </is>
      </c>
      <c r="M74" s="5" t="inlineStr">
        <is>
          <t>II – A agenda de ARR está publicada no site do órgão.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8" customWidth="1" min="3" max="3"/>
    <col width="28" customWidth="1" min="4" max="4"/>
    <col width="24" customWidth="1" min="5" max="5"/>
    <col width="34" customWidth="1" min="6" max="6"/>
    <col width="22" customWidth="1" min="7" max="7"/>
    <col width="60" customWidth="1" min="8" max="8"/>
  </cols>
  <sheetData>
    <row r="1">
      <c r="A1" s="4" t="inlineStr">
        <is>
          <t>Sigla</t>
        </is>
      </c>
      <c r="B1" s="4" t="inlineStr">
        <is>
          <t>Agência</t>
        </is>
      </c>
      <c r="C1" s="4" t="inlineStr">
        <is>
          <t>Setor</t>
        </is>
      </c>
      <c r="D1" s="4" t="inlineStr">
        <is>
          <t>Lei de criação</t>
        </is>
      </c>
      <c r="E1" s="4" t="inlineStr">
        <is>
          <t>Ministério supervisor</t>
        </is>
      </c>
      <c r="F1" s="4" t="inlineStr">
        <is>
          <t>Portal (raiz)</t>
        </is>
      </c>
      <c r="G1" s="4" t="inlineStr">
        <is>
          <t>Acesso do portal medido em 2026-10-09</t>
        </is>
      </c>
      <c r="H1" s="4" t="inlineStr">
        <is>
          <t>Observação</t>
        </is>
      </c>
    </row>
    <row r="2">
      <c r="A2" s="7" t="inlineStr">
        <is>
          <t>ANATEL</t>
        </is>
      </c>
      <c r="B2" s="5" t="inlineStr">
        <is>
          <t>Agência Nacional de Telecomunicações</t>
        </is>
      </c>
      <c r="C2" s="5" t="inlineStr">
        <is>
          <t>Telecomunicações</t>
        </is>
      </c>
      <c r="D2" s="5" t="inlineStr">
        <is>
          <t>Lei 9.472/1997</t>
        </is>
      </c>
      <c r="E2" s="6" t="inlineStr">
        <is>
          <t>a conferir</t>
        </is>
      </c>
      <c r="F2" s="9" t="inlineStr">
        <is>
          <t>https://www.gov.br/anatel/pt-br</t>
        </is>
      </c>
      <c r="G2" s="5" t="inlineStr">
        <is>
          <t>HTTP 200</t>
        </is>
      </c>
      <c r="H2" s="5" t="inlineStr"/>
    </row>
    <row r="3">
      <c r="A3" s="7" t="inlineStr">
        <is>
          <t>ANVISA</t>
        </is>
      </c>
      <c r="B3" s="5" t="inlineStr">
        <is>
          <t>Agência Nacional de Vigilância Sanitária</t>
        </is>
      </c>
      <c r="C3" s="5" t="inlineStr">
        <is>
          <t>Vigilância sanitária</t>
        </is>
      </c>
      <c r="D3" s="5" t="inlineStr">
        <is>
          <t>Lei 9.782/1999</t>
        </is>
      </c>
      <c r="E3" s="6" t="inlineStr">
        <is>
          <t>a conferir</t>
        </is>
      </c>
      <c r="F3" s="9" t="inlineStr">
        <is>
          <t>https://www.gov.br/anvisa/pt-br</t>
        </is>
      </c>
      <c r="G3" s="5" t="inlineStr">
        <is>
          <t>HTTP 200</t>
        </is>
      </c>
      <c r="H3" s="5" t="inlineStr"/>
    </row>
    <row r="4">
      <c r="A4" s="7" t="inlineStr">
        <is>
          <t>ANEEL</t>
        </is>
      </c>
      <c r="B4" s="5" t="inlineStr">
        <is>
          <t>Agência Nacional de Energia Elétrica</t>
        </is>
      </c>
      <c r="C4" s="5" t="inlineStr">
        <is>
          <t>Energia elétrica</t>
        </is>
      </c>
      <c r="D4" s="5" t="inlineStr">
        <is>
          <t>Lei 9.427/1996</t>
        </is>
      </c>
      <c r="E4" s="6" t="inlineStr">
        <is>
          <t>a conferir</t>
        </is>
      </c>
      <c r="F4" s="9" t="inlineStr">
        <is>
          <t>https://www.gov.br/aneel/pt-br</t>
        </is>
      </c>
      <c r="G4" s="5" t="inlineStr">
        <is>
          <t>bloqueado (403) neste ambiente — conferir no navegador</t>
        </is>
      </c>
      <c r="H4" s="5" t="inlineStr"/>
    </row>
    <row r="5">
      <c r="A5" s="7" t="inlineStr">
        <is>
          <t>ANTT</t>
        </is>
      </c>
      <c r="B5" s="5" t="inlineStr">
        <is>
          <t>Agência Nacional de Transportes Terrestres</t>
        </is>
      </c>
      <c r="C5" s="5" t="inlineStr">
        <is>
          <t>Transporte terrestre</t>
        </is>
      </c>
      <c r="D5" s="5" t="inlineStr">
        <is>
          <t>Lei 10.233/2001</t>
        </is>
      </c>
      <c r="E5" s="6" t="inlineStr">
        <is>
          <t>a conferir</t>
        </is>
      </c>
      <c r="F5" s="9" t="inlineStr">
        <is>
          <t>https://www.gov.br/antt/pt-br</t>
        </is>
      </c>
      <c r="G5" s="5" t="inlineStr">
        <is>
          <t>bloqueado (403) neste ambiente — conferir no navegador</t>
        </is>
      </c>
      <c r="H5" s="5" t="inlineStr"/>
    </row>
    <row r="6">
      <c r="A6" s="7" t="inlineStr">
        <is>
          <t>ANAC</t>
        </is>
      </c>
      <c r="B6" s="5" t="inlineStr">
        <is>
          <t>Agência Nacional de Aviação Civil</t>
        </is>
      </c>
      <c r="C6" s="5" t="inlineStr">
        <is>
          <t>Aviação civil</t>
        </is>
      </c>
      <c r="D6" s="5" t="inlineStr">
        <is>
          <t>Lei 11.182/2005</t>
        </is>
      </c>
      <c r="E6" s="6" t="inlineStr">
        <is>
          <t>a conferir</t>
        </is>
      </c>
      <c r="F6" s="9" t="inlineStr">
        <is>
          <t>https://www.gov.br/anac/pt-br</t>
        </is>
      </c>
      <c r="G6" s="5" t="inlineStr">
        <is>
          <t>sem resposta — conferir no navegador</t>
        </is>
      </c>
      <c r="H6" s="5" t="inlineStr"/>
    </row>
    <row r="7">
      <c r="A7" s="7" t="inlineStr">
        <is>
          <t>ANTAQ</t>
        </is>
      </c>
      <c r="B7" s="5" t="inlineStr">
        <is>
          <t>Agência Nacional de Transportes Aquaviários</t>
        </is>
      </c>
      <c r="C7" s="5" t="inlineStr">
        <is>
          <t>Transporte aquaviário</t>
        </is>
      </c>
      <c r="D7" s="5" t="inlineStr">
        <is>
          <t>Lei 10.233/2001</t>
        </is>
      </c>
      <c r="E7" s="6" t="inlineStr">
        <is>
          <t>a conferir</t>
        </is>
      </c>
      <c r="F7" s="9" t="inlineStr">
        <is>
          <t>https://www.gov.br/antaq/pt-br</t>
        </is>
      </c>
      <c r="G7" s="5" t="inlineStr">
        <is>
          <t>bloqueado (403) neste ambiente — conferir no navegador</t>
        </is>
      </c>
      <c r="H7" s="5" t="inlineStr"/>
    </row>
    <row r="8">
      <c r="A8" s="7" t="inlineStr">
        <is>
          <t>ANP</t>
        </is>
      </c>
      <c r="B8" s="5" t="inlineStr">
        <is>
          <t>Agência Nacional do Petróleo, Gás Natural e Biocombustíveis</t>
        </is>
      </c>
      <c r="C8" s="5" t="inlineStr">
        <is>
          <t>Petróleo, gás e biocombustíveis</t>
        </is>
      </c>
      <c r="D8" s="5" t="inlineStr">
        <is>
          <t>Lei 9.478/1997</t>
        </is>
      </c>
      <c r="E8" s="6" t="inlineStr">
        <is>
          <t>a conferir</t>
        </is>
      </c>
      <c r="F8" s="9" t="inlineStr">
        <is>
          <t>https://www.gov.br/anp/pt-br</t>
        </is>
      </c>
      <c r="G8" s="5" t="inlineStr">
        <is>
          <t>bloqueado (403) neste ambiente — conferir no navegador</t>
        </is>
      </c>
      <c r="H8" s="5" t="inlineStr"/>
    </row>
    <row r="9">
      <c r="A9" s="7" t="inlineStr">
        <is>
          <t>ANA</t>
        </is>
      </c>
      <c r="B9" s="5" t="inlineStr">
        <is>
          <t>Agência Nacional de Águas e Saneamento Básico</t>
        </is>
      </c>
      <c r="C9" s="5" t="inlineStr">
        <is>
          <t>Recursos hídricos e saneamento</t>
        </is>
      </c>
      <c r="D9" s="5" t="inlineStr">
        <is>
          <t>Lei 9.984/2000</t>
        </is>
      </c>
      <c r="E9" s="6" t="inlineStr">
        <is>
          <t>a conferir</t>
        </is>
      </c>
      <c r="F9" s="9" t="inlineStr">
        <is>
          <t>https://www.gov.br/ana/pt-br</t>
        </is>
      </c>
      <c r="G9" s="5" t="inlineStr">
        <is>
          <t>bloqueado (403) neste ambiente — conferir no navegador</t>
        </is>
      </c>
      <c r="H9" s="5" t="inlineStr">
        <is>
          <t>Regulação de saneamento (Lei 14.026/2020) inclui normas de referência — verificar agenda própria.</t>
        </is>
      </c>
    </row>
    <row r="10">
      <c r="A10" s="7" t="inlineStr">
        <is>
          <t>ANS</t>
        </is>
      </c>
      <c r="B10" s="5" t="inlineStr">
        <is>
          <t>Agência Nacional de Saúde Suplementar</t>
        </is>
      </c>
      <c r="C10" s="5" t="inlineStr">
        <is>
          <t>Saúde suplementar</t>
        </is>
      </c>
      <c r="D10" s="5" t="inlineStr">
        <is>
          <t>Lei 9.961/2000</t>
        </is>
      </c>
      <c r="E10" s="6" t="inlineStr">
        <is>
          <t>a conferir</t>
        </is>
      </c>
      <c r="F10" s="9" t="inlineStr">
        <is>
          <t>https://www.gov.br/ans/pt-br</t>
        </is>
      </c>
      <c r="G10" s="5" t="inlineStr">
        <is>
          <t>bloqueado (403) neste ambiente — conferir no navegador</t>
        </is>
      </c>
      <c r="H10" s="5" t="inlineStr"/>
    </row>
    <row r="11">
      <c r="A11" s="7" t="inlineStr">
        <is>
          <t>ANM</t>
        </is>
      </c>
      <c r="B11" s="5" t="inlineStr">
        <is>
          <t>Agência Nacional de Mineração</t>
        </is>
      </c>
      <c r="C11" s="5" t="inlineStr">
        <is>
          <t>Mineração</t>
        </is>
      </c>
      <c r="D11" s="5" t="inlineStr">
        <is>
          <t>Lei 13.575/2017</t>
        </is>
      </c>
      <c r="E11" s="6" t="inlineStr">
        <is>
          <t>a conferir</t>
        </is>
      </c>
      <c r="F11" s="9" t="inlineStr">
        <is>
          <t>https://www.gov.br/anm/pt-br</t>
        </is>
      </c>
      <c r="G11" s="5" t="inlineStr">
        <is>
          <t>bloqueado (403) neste ambiente — conferir no navegador</t>
        </is>
      </c>
      <c r="H11" s="5" t="inlineStr"/>
    </row>
    <row r="12">
      <c r="A12" s="7" t="inlineStr">
        <is>
          <t>ANCINE</t>
        </is>
      </c>
      <c r="B12" s="5" t="inlineStr">
        <is>
          <t>Agência Nacional do Cinema</t>
        </is>
      </c>
      <c r="C12" s="5" t="inlineStr">
        <is>
          <t>Audiovisual</t>
        </is>
      </c>
      <c r="D12" s="5" t="inlineStr">
        <is>
          <t>MP 2.228-1/2001</t>
        </is>
      </c>
      <c r="E12" s="6" t="inlineStr">
        <is>
          <t>a conferir</t>
        </is>
      </c>
      <c r="F12" s="9" t="inlineStr">
        <is>
          <t>https://www.gov.br/ancine/pt-br</t>
        </is>
      </c>
      <c r="G12" s="5" t="inlineStr">
        <is>
          <t>HTTP 200</t>
        </is>
      </c>
      <c r="H12" s="5" t="inlineStr">
        <is>
          <t>Criada por MP 2.228-1/2001; verificar agenda regulatória bienal publicada.</t>
        </is>
      </c>
    </row>
    <row r="13">
      <c r="A13" s="7" t="inlineStr">
        <is>
          <t>ANPD</t>
        </is>
      </c>
      <c r="B13" s="5" t="inlineStr">
        <is>
          <t>Autoridade Nacional de Proteção de Dados</t>
        </is>
      </c>
      <c r="C13" s="5" t="inlineStr">
        <is>
          <t>Proteção de dados pessoais</t>
        </is>
      </c>
      <c r="D13" s="5" t="inlineStr">
        <is>
          <t>Lei 13.709/2018 (LGPD), art. 55-A</t>
        </is>
      </c>
      <c r="E13" s="6" t="inlineStr">
        <is>
          <t>a conferir</t>
        </is>
      </c>
      <c r="F13" s="9" t="inlineStr">
        <is>
          <t>https://www.gov.br/anpd/pt-br</t>
        </is>
      </c>
      <c r="G13" s="5" t="inlineStr">
        <is>
          <t>HTTP 200</t>
        </is>
      </c>
      <c r="H13" s="5" t="inlineStr">
        <is>
          <t>Natureza jurídica/enquadramento na Lei 13.848/2019 a conferir antes de comparar com as demais.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Agência</t>
        </is>
      </c>
      <c r="B1" s="4" t="inlineStr">
        <is>
          <t>AIR_CAP</t>
        </is>
      </c>
      <c r="C1" s="4" t="inlineStr">
        <is>
          <t>AIR_MET</t>
        </is>
      </c>
      <c r="D1" s="4" t="inlineStr">
        <is>
          <t>AIR_PRO</t>
        </is>
      </c>
      <c r="E1" s="4" t="inlineStr">
        <is>
          <t>PS</t>
        </is>
      </c>
      <c r="F1" s="4" t="inlineStr">
        <is>
          <t>EST</t>
        </is>
      </c>
      <c r="G1" s="4" t="inlineStr">
        <is>
          <t>AGE</t>
        </is>
      </c>
      <c r="H1" s="4" t="inlineStr">
        <is>
          <t>PRO</t>
        </is>
      </c>
      <c r="I1" s="4" t="inlineStr">
        <is>
          <t>ARR_CAP</t>
        </is>
      </c>
      <c r="J1" s="4" t="inlineStr">
        <is>
          <t>ARR_MET</t>
        </is>
      </c>
      <c r="K1" s="4" t="inlineStr">
        <is>
          <t>ARR_PRO</t>
        </is>
      </c>
    </row>
    <row r="2">
      <c r="A2" s="7" t="inlineStr">
        <is>
          <t>ANATEL</t>
        </is>
      </c>
      <c r="B2" s="9" t="inlineStr">
        <is>
          <t>buscar</t>
        </is>
      </c>
      <c r="C2" s="9" t="inlineStr">
        <is>
          <t>buscar</t>
        </is>
      </c>
      <c r="D2" s="9" t="inlineStr">
        <is>
          <t>buscar</t>
        </is>
      </c>
      <c r="E2" s="9" t="inlineStr">
        <is>
          <t>buscar</t>
        </is>
      </c>
      <c r="F2" s="9" t="inlineStr">
        <is>
          <t>buscar</t>
        </is>
      </c>
      <c r="G2" s="9" t="inlineStr">
        <is>
          <t>buscar</t>
        </is>
      </c>
      <c r="H2" s="9" t="inlineStr">
        <is>
          <t>buscar</t>
        </is>
      </c>
      <c r="I2" s="9" t="inlineStr">
        <is>
          <t>buscar</t>
        </is>
      </c>
      <c r="J2" s="9" t="inlineStr">
        <is>
          <t>buscar</t>
        </is>
      </c>
      <c r="K2" s="9" t="inlineStr">
        <is>
          <t>buscar</t>
        </is>
      </c>
    </row>
    <row r="3">
      <c r="A3" s="7" t="inlineStr">
        <is>
          <t>ANVISA</t>
        </is>
      </c>
      <c r="B3" s="9" t="inlineStr">
        <is>
          <t>buscar</t>
        </is>
      </c>
      <c r="C3" s="9" t="inlineStr">
        <is>
          <t>buscar</t>
        </is>
      </c>
      <c r="D3" s="9" t="inlineStr">
        <is>
          <t>buscar</t>
        </is>
      </c>
      <c r="E3" s="9" t="inlineStr">
        <is>
          <t>buscar</t>
        </is>
      </c>
      <c r="F3" s="9" t="inlineStr">
        <is>
          <t>buscar</t>
        </is>
      </c>
      <c r="G3" s="9" t="inlineStr">
        <is>
          <t>buscar</t>
        </is>
      </c>
      <c r="H3" s="9" t="inlineStr">
        <is>
          <t>buscar</t>
        </is>
      </c>
      <c r="I3" s="9" t="inlineStr">
        <is>
          <t>buscar</t>
        </is>
      </c>
      <c r="J3" s="9" t="inlineStr">
        <is>
          <t>buscar</t>
        </is>
      </c>
      <c r="K3" s="9" t="inlineStr">
        <is>
          <t>buscar</t>
        </is>
      </c>
    </row>
    <row r="4">
      <c r="A4" s="7" t="inlineStr">
        <is>
          <t>ANEEL</t>
        </is>
      </c>
      <c r="B4" s="9" t="inlineStr">
        <is>
          <t>buscar</t>
        </is>
      </c>
      <c r="C4" s="9" t="inlineStr">
        <is>
          <t>buscar</t>
        </is>
      </c>
      <c r="D4" s="9" t="inlineStr">
        <is>
          <t>buscar</t>
        </is>
      </c>
      <c r="E4" s="9" t="inlineStr">
        <is>
          <t>buscar</t>
        </is>
      </c>
      <c r="F4" s="9" t="inlineStr">
        <is>
          <t>buscar</t>
        </is>
      </c>
      <c r="G4" s="9" t="inlineStr">
        <is>
          <t>buscar</t>
        </is>
      </c>
      <c r="H4" s="9" t="inlineStr">
        <is>
          <t>buscar</t>
        </is>
      </c>
      <c r="I4" s="9" t="inlineStr">
        <is>
          <t>buscar</t>
        </is>
      </c>
      <c r="J4" s="9" t="inlineStr">
        <is>
          <t>buscar</t>
        </is>
      </c>
      <c r="K4" s="9" t="inlineStr">
        <is>
          <t>buscar</t>
        </is>
      </c>
    </row>
    <row r="5">
      <c r="A5" s="7" t="inlineStr">
        <is>
          <t>ANTT</t>
        </is>
      </c>
      <c r="B5" s="9" t="inlineStr">
        <is>
          <t>buscar</t>
        </is>
      </c>
      <c r="C5" s="9" t="inlineStr">
        <is>
          <t>buscar</t>
        </is>
      </c>
      <c r="D5" s="9" t="inlineStr">
        <is>
          <t>buscar</t>
        </is>
      </c>
      <c r="E5" s="9" t="inlineStr">
        <is>
          <t>buscar</t>
        </is>
      </c>
      <c r="F5" s="9" t="inlineStr">
        <is>
          <t>buscar</t>
        </is>
      </c>
      <c r="G5" s="9" t="inlineStr">
        <is>
          <t>buscar</t>
        </is>
      </c>
      <c r="H5" s="9" t="inlineStr">
        <is>
          <t>buscar</t>
        </is>
      </c>
      <c r="I5" s="9" t="inlineStr">
        <is>
          <t>buscar</t>
        </is>
      </c>
      <c r="J5" s="9" t="inlineStr">
        <is>
          <t>buscar</t>
        </is>
      </c>
      <c r="K5" s="9" t="inlineStr">
        <is>
          <t>buscar</t>
        </is>
      </c>
    </row>
    <row r="6">
      <c r="A6" s="7" t="inlineStr">
        <is>
          <t>ANAC</t>
        </is>
      </c>
      <c r="B6" s="9" t="inlineStr">
        <is>
          <t>buscar</t>
        </is>
      </c>
      <c r="C6" s="9" t="inlineStr">
        <is>
          <t>buscar</t>
        </is>
      </c>
      <c r="D6" s="9" t="inlineStr">
        <is>
          <t>buscar</t>
        </is>
      </c>
      <c r="E6" s="9" t="inlineStr">
        <is>
          <t>buscar</t>
        </is>
      </c>
      <c r="F6" s="9" t="inlineStr">
        <is>
          <t>buscar</t>
        </is>
      </c>
      <c r="G6" s="9" t="inlineStr">
        <is>
          <t>buscar</t>
        </is>
      </c>
      <c r="H6" s="9" t="inlineStr">
        <is>
          <t>buscar</t>
        </is>
      </c>
      <c r="I6" s="9" t="inlineStr">
        <is>
          <t>buscar</t>
        </is>
      </c>
      <c r="J6" s="9" t="inlineStr">
        <is>
          <t>buscar</t>
        </is>
      </c>
      <c r="K6" s="9" t="inlineStr">
        <is>
          <t>buscar</t>
        </is>
      </c>
    </row>
    <row r="7">
      <c r="A7" s="7" t="inlineStr">
        <is>
          <t>ANTAQ</t>
        </is>
      </c>
      <c r="B7" s="9" t="inlineStr">
        <is>
          <t>buscar</t>
        </is>
      </c>
      <c r="C7" s="9" t="inlineStr">
        <is>
          <t>buscar</t>
        </is>
      </c>
      <c r="D7" s="9" t="inlineStr">
        <is>
          <t>buscar</t>
        </is>
      </c>
      <c r="E7" s="9" t="inlineStr">
        <is>
          <t>buscar</t>
        </is>
      </c>
      <c r="F7" s="9" t="inlineStr">
        <is>
          <t>buscar</t>
        </is>
      </c>
      <c r="G7" s="9" t="inlineStr">
        <is>
          <t>buscar</t>
        </is>
      </c>
      <c r="H7" s="9" t="inlineStr">
        <is>
          <t>buscar</t>
        </is>
      </c>
      <c r="I7" s="9" t="inlineStr">
        <is>
          <t>buscar</t>
        </is>
      </c>
      <c r="J7" s="9" t="inlineStr">
        <is>
          <t>buscar</t>
        </is>
      </c>
      <c r="K7" s="9" t="inlineStr">
        <is>
          <t>buscar</t>
        </is>
      </c>
    </row>
    <row r="8">
      <c r="A8" s="7" t="inlineStr">
        <is>
          <t>ANP</t>
        </is>
      </c>
      <c r="B8" s="9" t="inlineStr">
        <is>
          <t>buscar</t>
        </is>
      </c>
      <c r="C8" s="9" t="inlineStr">
        <is>
          <t>buscar</t>
        </is>
      </c>
      <c r="D8" s="9" t="inlineStr">
        <is>
          <t>buscar</t>
        </is>
      </c>
      <c r="E8" s="9" t="inlineStr">
        <is>
          <t>buscar</t>
        </is>
      </c>
      <c r="F8" s="9" t="inlineStr">
        <is>
          <t>buscar</t>
        </is>
      </c>
      <c r="G8" s="9" t="inlineStr">
        <is>
          <t>buscar</t>
        </is>
      </c>
      <c r="H8" s="9" t="inlineStr">
        <is>
          <t>buscar</t>
        </is>
      </c>
      <c r="I8" s="9" t="inlineStr">
        <is>
          <t>buscar</t>
        </is>
      </c>
      <c r="J8" s="9" t="inlineStr">
        <is>
          <t>buscar</t>
        </is>
      </c>
      <c r="K8" s="9" t="inlineStr">
        <is>
          <t>buscar</t>
        </is>
      </c>
    </row>
    <row r="9">
      <c r="A9" s="7" t="inlineStr">
        <is>
          <t>ANA</t>
        </is>
      </c>
      <c r="B9" s="9" t="inlineStr">
        <is>
          <t>buscar</t>
        </is>
      </c>
      <c r="C9" s="9" t="inlineStr">
        <is>
          <t>buscar</t>
        </is>
      </c>
      <c r="D9" s="9" t="inlineStr">
        <is>
          <t>buscar</t>
        </is>
      </c>
      <c r="E9" s="9" t="inlineStr">
        <is>
          <t>buscar</t>
        </is>
      </c>
      <c r="F9" s="9" t="inlineStr">
        <is>
          <t>buscar</t>
        </is>
      </c>
      <c r="G9" s="9" t="inlineStr">
        <is>
          <t>buscar</t>
        </is>
      </c>
      <c r="H9" s="9" t="inlineStr">
        <is>
          <t>buscar</t>
        </is>
      </c>
      <c r="I9" s="9" t="inlineStr">
        <is>
          <t>buscar</t>
        </is>
      </c>
      <c r="J9" s="9" t="inlineStr">
        <is>
          <t>buscar</t>
        </is>
      </c>
      <c r="K9" s="9" t="inlineStr">
        <is>
          <t>buscar</t>
        </is>
      </c>
    </row>
    <row r="10">
      <c r="A10" s="7" t="inlineStr">
        <is>
          <t>ANS</t>
        </is>
      </c>
      <c r="B10" s="9" t="inlineStr">
        <is>
          <t>buscar</t>
        </is>
      </c>
      <c r="C10" s="9" t="inlineStr">
        <is>
          <t>buscar</t>
        </is>
      </c>
      <c r="D10" s="9" t="inlineStr">
        <is>
          <t>buscar</t>
        </is>
      </c>
      <c r="E10" s="9" t="inlineStr">
        <is>
          <t>buscar</t>
        </is>
      </c>
      <c r="F10" s="9" t="inlineStr">
        <is>
          <t>buscar</t>
        </is>
      </c>
      <c r="G10" s="9" t="inlineStr">
        <is>
          <t>buscar</t>
        </is>
      </c>
      <c r="H10" s="9" t="inlineStr">
        <is>
          <t>buscar</t>
        </is>
      </c>
      <c r="I10" s="9" t="inlineStr">
        <is>
          <t>buscar</t>
        </is>
      </c>
      <c r="J10" s="9" t="inlineStr">
        <is>
          <t>buscar</t>
        </is>
      </c>
      <c r="K10" s="9" t="inlineStr">
        <is>
          <t>buscar</t>
        </is>
      </c>
    </row>
    <row r="11">
      <c r="A11" s="7" t="inlineStr">
        <is>
          <t>ANM</t>
        </is>
      </c>
      <c r="B11" s="9" t="inlineStr">
        <is>
          <t>buscar</t>
        </is>
      </c>
      <c r="C11" s="9" t="inlineStr">
        <is>
          <t>buscar</t>
        </is>
      </c>
      <c r="D11" s="9" t="inlineStr">
        <is>
          <t>buscar</t>
        </is>
      </c>
      <c r="E11" s="9" t="inlineStr">
        <is>
          <t>buscar</t>
        </is>
      </c>
      <c r="F11" s="9" t="inlineStr">
        <is>
          <t>buscar</t>
        </is>
      </c>
      <c r="G11" s="9" t="inlineStr">
        <is>
          <t>buscar</t>
        </is>
      </c>
      <c r="H11" s="9" t="inlineStr">
        <is>
          <t>buscar</t>
        </is>
      </c>
      <c r="I11" s="9" t="inlineStr">
        <is>
          <t>buscar</t>
        </is>
      </c>
      <c r="J11" s="9" t="inlineStr">
        <is>
          <t>buscar</t>
        </is>
      </c>
      <c r="K11" s="9" t="inlineStr">
        <is>
          <t>buscar</t>
        </is>
      </c>
    </row>
    <row r="12">
      <c r="A12" s="7" t="inlineStr">
        <is>
          <t>ANCINE</t>
        </is>
      </c>
      <c r="B12" s="9" t="inlineStr">
        <is>
          <t>buscar</t>
        </is>
      </c>
      <c r="C12" s="9" t="inlineStr">
        <is>
          <t>buscar</t>
        </is>
      </c>
      <c r="D12" s="9" t="inlineStr">
        <is>
          <t>buscar</t>
        </is>
      </c>
      <c r="E12" s="9" t="inlineStr">
        <is>
          <t>buscar</t>
        </is>
      </c>
      <c r="F12" s="9" t="inlineStr">
        <is>
          <t>buscar</t>
        </is>
      </c>
      <c r="G12" s="9" t="inlineStr">
        <is>
          <t>buscar</t>
        </is>
      </c>
      <c r="H12" s="9" t="inlineStr">
        <is>
          <t>buscar</t>
        </is>
      </c>
      <c r="I12" s="9" t="inlineStr">
        <is>
          <t>buscar</t>
        </is>
      </c>
      <c r="J12" s="9" t="inlineStr">
        <is>
          <t>buscar</t>
        </is>
      </c>
      <c r="K12" s="9" t="inlineStr">
        <is>
          <t>buscar</t>
        </is>
      </c>
    </row>
    <row r="13">
      <c r="A13" s="7" t="inlineStr">
        <is>
          <t>ANPD</t>
        </is>
      </c>
      <c r="B13" s="9" t="inlineStr">
        <is>
          <t>buscar</t>
        </is>
      </c>
      <c r="C13" s="9" t="inlineStr">
        <is>
          <t>buscar</t>
        </is>
      </c>
      <c r="D13" s="9" t="inlineStr">
        <is>
          <t>buscar</t>
        </is>
      </c>
      <c r="E13" s="9" t="inlineStr">
        <is>
          <t>buscar</t>
        </is>
      </c>
      <c r="F13" s="9" t="inlineStr">
        <is>
          <t>buscar</t>
        </is>
      </c>
      <c r="G13" s="9" t="inlineStr">
        <is>
          <t>buscar</t>
        </is>
      </c>
      <c r="H13" s="9" t="inlineStr">
        <is>
          <t>buscar</t>
        </is>
      </c>
      <c r="I13" s="9" t="inlineStr">
        <is>
          <t>buscar</t>
        </is>
      </c>
      <c r="J13" s="9" t="inlineStr">
        <is>
          <t>buscar</t>
        </is>
      </c>
      <c r="K13" s="9" t="inlineStr">
        <is>
          <t>buscar</t>
        </is>
      </c>
    </row>
    <row r="14">
      <c r="A14" s="5" t="inlineStr">
        <is>
          <t>Cada link abre uma busca restrita ao portal da agência pelo 1º termo do critério (ver aba Critérios para os demais termos).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B3" r:id="rId11"/>
    <hyperlink xmlns:r="http://schemas.openxmlformats.org/officeDocument/2006/relationships" ref="C3" r:id="rId12"/>
    <hyperlink xmlns:r="http://schemas.openxmlformats.org/officeDocument/2006/relationships" ref="D3" r:id="rId13"/>
    <hyperlink xmlns:r="http://schemas.openxmlformats.org/officeDocument/2006/relationships" ref="E3" r:id="rId14"/>
    <hyperlink xmlns:r="http://schemas.openxmlformats.org/officeDocument/2006/relationships" ref="F3" r:id="rId15"/>
    <hyperlink xmlns:r="http://schemas.openxmlformats.org/officeDocument/2006/relationships" ref="G3" r:id="rId16"/>
    <hyperlink xmlns:r="http://schemas.openxmlformats.org/officeDocument/2006/relationships" ref="H3" r:id="rId17"/>
    <hyperlink xmlns:r="http://schemas.openxmlformats.org/officeDocument/2006/relationships" ref="I3" r:id="rId18"/>
    <hyperlink xmlns:r="http://schemas.openxmlformats.org/officeDocument/2006/relationships" ref="J3" r:id="rId19"/>
    <hyperlink xmlns:r="http://schemas.openxmlformats.org/officeDocument/2006/relationships" ref="K3" r:id="rId20"/>
    <hyperlink xmlns:r="http://schemas.openxmlformats.org/officeDocument/2006/relationships" ref="B4" r:id="rId21"/>
    <hyperlink xmlns:r="http://schemas.openxmlformats.org/officeDocument/2006/relationships" ref="C4" r:id="rId22"/>
    <hyperlink xmlns:r="http://schemas.openxmlformats.org/officeDocument/2006/relationships" ref="D4" r:id="rId23"/>
    <hyperlink xmlns:r="http://schemas.openxmlformats.org/officeDocument/2006/relationships" ref="E4" r:id="rId24"/>
    <hyperlink xmlns:r="http://schemas.openxmlformats.org/officeDocument/2006/relationships" ref="F4" r:id="rId25"/>
    <hyperlink xmlns:r="http://schemas.openxmlformats.org/officeDocument/2006/relationships" ref="G4" r:id="rId26"/>
    <hyperlink xmlns:r="http://schemas.openxmlformats.org/officeDocument/2006/relationships" ref="H4" r:id="rId27"/>
    <hyperlink xmlns:r="http://schemas.openxmlformats.org/officeDocument/2006/relationships" ref="I4" r:id="rId28"/>
    <hyperlink xmlns:r="http://schemas.openxmlformats.org/officeDocument/2006/relationships" ref="J4" r:id="rId29"/>
    <hyperlink xmlns:r="http://schemas.openxmlformats.org/officeDocument/2006/relationships" ref="K4" r:id="rId30"/>
    <hyperlink xmlns:r="http://schemas.openxmlformats.org/officeDocument/2006/relationships" ref="B5" r:id="rId31"/>
    <hyperlink xmlns:r="http://schemas.openxmlformats.org/officeDocument/2006/relationships" ref="C5" r:id="rId32"/>
    <hyperlink xmlns:r="http://schemas.openxmlformats.org/officeDocument/2006/relationships" ref="D5" r:id="rId33"/>
    <hyperlink xmlns:r="http://schemas.openxmlformats.org/officeDocument/2006/relationships" ref="E5" r:id="rId34"/>
    <hyperlink xmlns:r="http://schemas.openxmlformats.org/officeDocument/2006/relationships" ref="F5" r:id="rId35"/>
    <hyperlink xmlns:r="http://schemas.openxmlformats.org/officeDocument/2006/relationships" ref="G5" r:id="rId36"/>
    <hyperlink xmlns:r="http://schemas.openxmlformats.org/officeDocument/2006/relationships" ref="H5" r:id="rId37"/>
    <hyperlink xmlns:r="http://schemas.openxmlformats.org/officeDocument/2006/relationships" ref="I5" r:id="rId38"/>
    <hyperlink xmlns:r="http://schemas.openxmlformats.org/officeDocument/2006/relationships" ref="J5" r:id="rId39"/>
    <hyperlink xmlns:r="http://schemas.openxmlformats.org/officeDocument/2006/relationships" ref="K5" r:id="rId40"/>
    <hyperlink xmlns:r="http://schemas.openxmlformats.org/officeDocument/2006/relationships" ref="B6" r:id="rId41"/>
    <hyperlink xmlns:r="http://schemas.openxmlformats.org/officeDocument/2006/relationships" ref="C6" r:id="rId42"/>
    <hyperlink xmlns:r="http://schemas.openxmlformats.org/officeDocument/2006/relationships" ref="D6" r:id="rId43"/>
    <hyperlink xmlns:r="http://schemas.openxmlformats.org/officeDocument/2006/relationships" ref="E6" r:id="rId44"/>
    <hyperlink xmlns:r="http://schemas.openxmlformats.org/officeDocument/2006/relationships" ref="F6" r:id="rId45"/>
    <hyperlink xmlns:r="http://schemas.openxmlformats.org/officeDocument/2006/relationships" ref="G6" r:id="rId46"/>
    <hyperlink xmlns:r="http://schemas.openxmlformats.org/officeDocument/2006/relationships" ref="H6" r:id="rId47"/>
    <hyperlink xmlns:r="http://schemas.openxmlformats.org/officeDocument/2006/relationships" ref="I6" r:id="rId48"/>
    <hyperlink xmlns:r="http://schemas.openxmlformats.org/officeDocument/2006/relationships" ref="J6" r:id="rId49"/>
    <hyperlink xmlns:r="http://schemas.openxmlformats.org/officeDocument/2006/relationships" ref="K6" r:id="rId50"/>
    <hyperlink xmlns:r="http://schemas.openxmlformats.org/officeDocument/2006/relationships" ref="B7" r:id="rId51"/>
    <hyperlink xmlns:r="http://schemas.openxmlformats.org/officeDocument/2006/relationships" ref="C7" r:id="rId52"/>
    <hyperlink xmlns:r="http://schemas.openxmlformats.org/officeDocument/2006/relationships" ref="D7" r:id="rId53"/>
    <hyperlink xmlns:r="http://schemas.openxmlformats.org/officeDocument/2006/relationships" ref="E7" r:id="rId54"/>
    <hyperlink xmlns:r="http://schemas.openxmlformats.org/officeDocument/2006/relationships" ref="F7" r:id="rId55"/>
    <hyperlink xmlns:r="http://schemas.openxmlformats.org/officeDocument/2006/relationships" ref="G7" r:id="rId56"/>
    <hyperlink xmlns:r="http://schemas.openxmlformats.org/officeDocument/2006/relationships" ref="H7" r:id="rId57"/>
    <hyperlink xmlns:r="http://schemas.openxmlformats.org/officeDocument/2006/relationships" ref="I7" r:id="rId58"/>
    <hyperlink xmlns:r="http://schemas.openxmlformats.org/officeDocument/2006/relationships" ref="J7" r:id="rId59"/>
    <hyperlink xmlns:r="http://schemas.openxmlformats.org/officeDocument/2006/relationships" ref="K7" r:id="rId60"/>
    <hyperlink xmlns:r="http://schemas.openxmlformats.org/officeDocument/2006/relationships" ref="B8" r:id="rId61"/>
    <hyperlink xmlns:r="http://schemas.openxmlformats.org/officeDocument/2006/relationships" ref="C8" r:id="rId62"/>
    <hyperlink xmlns:r="http://schemas.openxmlformats.org/officeDocument/2006/relationships" ref="D8" r:id="rId63"/>
    <hyperlink xmlns:r="http://schemas.openxmlformats.org/officeDocument/2006/relationships" ref="E8" r:id="rId64"/>
    <hyperlink xmlns:r="http://schemas.openxmlformats.org/officeDocument/2006/relationships" ref="F8" r:id="rId65"/>
    <hyperlink xmlns:r="http://schemas.openxmlformats.org/officeDocument/2006/relationships" ref="G8" r:id="rId66"/>
    <hyperlink xmlns:r="http://schemas.openxmlformats.org/officeDocument/2006/relationships" ref="H8" r:id="rId67"/>
    <hyperlink xmlns:r="http://schemas.openxmlformats.org/officeDocument/2006/relationships" ref="I8" r:id="rId68"/>
    <hyperlink xmlns:r="http://schemas.openxmlformats.org/officeDocument/2006/relationships" ref="J8" r:id="rId69"/>
    <hyperlink xmlns:r="http://schemas.openxmlformats.org/officeDocument/2006/relationships" ref="K8" r:id="rId70"/>
    <hyperlink xmlns:r="http://schemas.openxmlformats.org/officeDocument/2006/relationships" ref="B9" r:id="rId71"/>
    <hyperlink xmlns:r="http://schemas.openxmlformats.org/officeDocument/2006/relationships" ref="C9" r:id="rId72"/>
    <hyperlink xmlns:r="http://schemas.openxmlformats.org/officeDocument/2006/relationships" ref="D9" r:id="rId73"/>
    <hyperlink xmlns:r="http://schemas.openxmlformats.org/officeDocument/2006/relationships" ref="E9" r:id="rId74"/>
    <hyperlink xmlns:r="http://schemas.openxmlformats.org/officeDocument/2006/relationships" ref="F9" r:id="rId75"/>
    <hyperlink xmlns:r="http://schemas.openxmlformats.org/officeDocument/2006/relationships" ref="G9" r:id="rId76"/>
    <hyperlink xmlns:r="http://schemas.openxmlformats.org/officeDocument/2006/relationships" ref="H9" r:id="rId77"/>
    <hyperlink xmlns:r="http://schemas.openxmlformats.org/officeDocument/2006/relationships" ref="I9" r:id="rId78"/>
    <hyperlink xmlns:r="http://schemas.openxmlformats.org/officeDocument/2006/relationships" ref="J9" r:id="rId79"/>
    <hyperlink xmlns:r="http://schemas.openxmlformats.org/officeDocument/2006/relationships" ref="K9" r:id="rId80"/>
    <hyperlink xmlns:r="http://schemas.openxmlformats.org/officeDocument/2006/relationships" ref="B10" r:id="rId81"/>
    <hyperlink xmlns:r="http://schemas.openxmlformats.org/officeDocument/2006/relationships" ref="C10" r:id="rId82"/>
    <hyperlink xmlns:r="http://schemas.openxmlformats.org/officeDocument/2006/relationships" ref="D10" r:id="rId83"/>
    <hyperlink xmlns:r="http://schemas.openxmlformats.org/officeDocument/2006/relationships" ref="E10" r:id="rId84"/>
    <hyperlink xmlns:r="http://schemas.openxmlformats.org/officeDocument/2006/relationships" ref="F10" r:id="rId85"/>
    <hyperlink xmlns:r="http://schemas.openxmlformats.org/officeDocument/2006/relationships" ref="G10" r:id="rId86"/>
    <hyperlink xmlns:r="http://schemas.openxmlformats.org/officeDocument/2006/relationships" ref="H10" r:id="rId87"/>
    <hyperlink xmlns:r="http://schemas.openxmlformats.org/officeDocument/2006/relationships" ref="I10" r:id="rId88"/>
    <hyperlink xmlns:r="http://schemas.openxmlformats.org/officeDocument/2006/relationships" ref="J10" r:id="rId89"/>
    <hyperlink xmlns:r="http://schemas.openxmlformats.org/officeDocument/2006/relationships" ref="K10" r:id="rId90"/>
    <hyperlink xmlns:r="http://schemas.openxmlformats.org/officeDocument/2006/relationships" ref="B11" r:id="rId91"/>
    <hyperlink xmlns:r="http://schemas.openxmlformats.org/officeDocument/2006/relationships" ref="C11" r:id="rId92"/>
    <hyperlink xmlns:r="http://schemas.openxmlformats.org/officeDocument/2006/relationships" ref="D11" r:id="rId93"/>
    <hyperlink xmlns:r="http://schemas.openxmlformats.org/officeDocument/2006/relationships" ref="E11" r:id="rId94"/>
    <hyperlink xmlns:r="http://schemas.openxmlformats.org/officeDocument/2006/relationships" ref="F11" r:id="rId95"/>
    <hyperlink xmlns:r="http://schemas.openxmlformats.org/officeDocument/2006/relationships" ref="G11" r:id="rId96"/>
    <hyperlink xmlns:r="http://schemas.openxmlformats.org/officeDocument/2006/relationships" ref="H11" r:id="rId97"/>
    <hyperlink xmlns:r="http://schemas.openxmlformats.org/officeDocument/2006/relationships" ref="I11" r:id="rId98"/>
    <hyperlink xmlns:r="http://schemas.openxmlformats.org/officeDocument/2006/relationships" ref="J11" r:id="rId99"/>
    <hyperlink xmlns:r="http://schemas.openxmlformats.org/officeDocument/2006/relationships" ref="K11" r:id="rId100"/>
    <hyperlink xmlns:r="http://schemas.openxmlformats.org/officeDocument/2006/relationships" ref="B12" r:id="rId101"/>
    <hyperlink xmlns:r="http://schemas.openxmlformats.org/officeDocument/2006/relationships" ref="C12" r:id="rId102"/>
    <hyperlink xmlns:r="http://schemas.openxmlformats.org/officeDocument/2006/relationships" ref="D12" r:id="rId103"/>
    <hyperlink xmlns:r="http://schemas.openxmlformats.org/officeDocument/2006/relationships" ref="E12" r:id="rId104"/>
    <hyperlink xmlns:r="http://schemas.openxmlformats.org/officeDocument/2006/relationships" ref="F12" r:id="rId105"/>
    <hyperlink xmlns:r="http://schemas.openxmlformats.org/officeDocument/2006/relationships" ref="G12" r:id="rId106"/>
    <hyperlink xmlns:r="http://schemas.openxmlformats.org/officeDocument/2006/relationships" ref="H12" r:id="rId107"/>
    <hyperlink xmlns:r="http://schemas.openxmlformats.org/officeDocument/2006/relationships" ref="I12" r:id="rId108"/>
    <hyperlink xmlns:r="http://schemas.openxmlformats.org/officeDocument/2006/relationships" ref="J12" r:id="rId109"/>
    <hyperlink xmlns:r="http://schemas.openxmlformats.org/officeDocument/2006/relationships" ref="K12" r:id="rId110"/>
    <hyperlink xmlns:r="http://schemas.openxmlformats.org/officeDocument/2006/relationships" ref="B13" r:id="rId111"/>
    <hyperlink xmlns:r="http://schemas.openxmlformats.org/officeDocument/2006/relationships" ref="C13" r:id="rId112"/>
    <hyperlink xmlns:r="http://schemas.openxmlformats.org/officeDocument/2006/relationships" ref="D13" r:id="rId113"/>
    <hyperlink xmlns:r="http://schemas.openxmlformats.org/officeDocument/2006/relationships" ref="E13" r:id="rId114"/>
    <hyperlink xmlns:r="http://schemas.openxmlformats.org/officeDocument/2006/relationships" ref="F13" r:id="rId115"/>
    <hyperlink xmlns:r="http://schemas.openxmlformats.org/officeDocument/2006/relationships" ref="G13" r:id="rId116"/>
    <hyperlink xmlns:r="http://schemas.openxmlformats.org/officeDocument/2006/relationships" ref="H13" r:id="rId117"/>
    <hyperlink xmlns:r="http://schemas.openxmlformats.org/officeDocument/2006/relationships" ref="I13" r:id="rId118"/>
    <hyperlink xmlns:r="http://schemas.openxmlformats.org/officeDocument/2006/relationships" ref="J13" r:id="rId119"/>
    <hyperlink xmlns:r="http://schemas.openxmlformats.org/officeDocument/2006/relationships" ref="K13" r:id="rId1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7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5" customWidth="1" min="4" max="4"/>
    <col width="17" customWidth="1" min="5" max="5"/>
    <col width="6" customWidth="1" min="6" max="6"/>
    <col width="60" customWidth="1" min="7" max="7"/>
    <col width="12" customWidth="1" min="8" max="8"/>
    <col width="40" customWidth="1" min="9" max="9"/>
    <col width="14" customWidth="1" min="10" max="10"/>
    <col width="14" customWidth="1" min="11" max="11"/>
    <col width="40" customWidth="1" min="12" max="12"/>
    <col width="10" customWidth="1" min="13" max="13"/>
    <col width="10" customWidth="1" min="14" max="14"/>
  </cols>
  <sheetData>
    <row r="1">
      <c r="A1" s="4" t="inlineStr">
        <is>
          <t>Agência</t>
        </is>
      </c>
      <c r="B1" s="4" t="inlineStr">
        <is>
          <t>Condição ID</t>
        </is>
      </c>
      <c r="C1" s="4" t="inlineStr">
        <is>
          <t>Critério</t>
        </is>
      </c>
      <c r="D1" s="4" t="inlineStr">
        <is>
          <t>Dim.</t>
        </is>
      </c>
      <c r="E1" s="4" t="inlineStr">
        <is>
          <t>Nível</t>
        </is>
      </c>
      <c r="F1" s="4" t="inlineStr">
        <is>
          <t>Ordem</t>
        </is>
      </c>
      <c r="G1" s="4" t="inlineStr">
        <is>
          <t>Condição</t>
        </is>
      </c>
      <c r="H1" s="4" t="inlineStr">
        <is>
          <t>Resposta (SIM/NÃO/?)</t>
        </is>
      </c>
      <c r="I1" s="4" t="inlineStr">
        <is>
          <t>URL da evidência</t>
        </is>
      </c>
      <c r="J1" s="4" t="inlineStr">
        <is>
          <t>Data da consulta</t>
        </is>
      </c>
      <c r="K1" s="4" t="inlineStr">
        <is>
          <t>Status revisão</t>
        </is>
      </c>
      <c r="L1" s="4" t="inlineStr">
        <is>
          <t>Observação (sem dados pessoais)</t>
        </is>
      </c>
      <c r="M1" s="4" t="inlineStr">
        <is>
          <t>Conta estimado</t>
        </is>
      </c>
      <c r="N1" s="4" t="inlineStr">
        <is>
          <t>Conta comprovado</t>
        </is>
      </c>
    </row>
    <row r="2">
      <c r="A2" s="5" t="inlineStr">
        <is>
          <t>ANATEL</t>
        </is>
      </c>
      <c r="B2" s="5" t="inlineStr">
        <is>
          <t>AIR_CAP.MC.I</t>
        </is>
      </c>
      <c r="C2" s="5" t="inlineStr">
        <is>
          <t>AIR_CAP</t>
        </is>
      </c>
      <c r="D2" s="5" t="n">
        <v>1</v>
      </c>
      <c r="E2" s="5" t="inlineStr">
        <is>
          <t>Melhoria Contínua</t>
        </is>
      </c>
      <c r="F2" s="5" t="inlineStr">
        <is>
          <t>I</t>
        </is>
      </c>
      <c r="G2" s="5" t="inlineStr">
        <is>
          <t>Plano de capacitação formalizado e em execução, incluindo permanente reciclagem em técnicas de AIR;</t>
        </is>
      </c>
      <c r="H2" s="6" t="n"/>
      <c r="I2" s="6" t="n"/>
      <c r="J2" s="6" t="n"/>
      <c r="K2" s="6" t="inlineStr">
        <is>
          <t>pendente</t>
        </is>
      </c>
      <c r="L2" s="6" t="n"/>
      <c r="M2" s="5">
        <f>IF(H2="SIM",1,0)</f>
        <v/>
      </c>
      <c r="N2" s="5">
        <f>IF(AND(H2="SIM",K2="validado",I2&lt;&gt;""),1,0)</f>
        <v/>
      </c>
    </row>
    <row r="3">
      <c r="A3" s="5" t="inlineStr">
        <is>
          <t>ANATEL</t>
        </is>
      </c>
      <c r="B3" s="5" t="inlineStr">
        <is>
          <t>AIR_CAP.GER.I</t>
        </is>
      </c>
      <c r="C3" s="5" t="inlineStr">
        <is>
          <t>AIR_CAP</t>
        </is>
      </c>
      <c r="D3" s="5" t="n">
        <v>1</v>
      </c>
      <c r="E3" s="5" t="inlineStr">
        <is>
          <t>Gerenciado</t>
        </is>
      </c>
      <c r="F3" s="5" t="inlineStr">
        <is>
          <t>I</t>
        </is>
      </c>
      <c r="G3" s="5" t="inlineStr">
        <is>
          <t>Capacitações em AIR estão institucionalizadas, sem um plano formalizado;</t>
        </is>
      </c>
      <c r="H3" s="6" t="n"/>
      <c r="I3" s="6" t="n"/>
      <c r="J3" s="6" t="n"/>
      <c r="K3" s="6" t="inlineStr">
        <is>
          <t>pendente</t>
        </is>
      </c>
      <c r="L3" s="6" t="n"/>
      <c r="M3" s="5">
        <f>IF(H3="SIM",1,0)</f>
        <v/>
      </c>
      <c r="N3" s="5">
        <f>IF(AND(H3="SIM",K3="validado",I3&lt;&gt;""),1,0)</f>
        <v/>
      </c>
    </row>
    <row r="4">
      <c r="A4" s="5" t="inlineStr">
        <is>
          <t>ANATEL</t>
        </is>
      </c>
      <c r="B4" s="5" t="inlineStr">
        <is>
          <t>AIR_CAP.INI.I</t>
        </is>
      </c>
      <c r="C4" s="5" t="inlineStr">
        <is>
          <t>AIR_CAP</t>
        </is>
      </c>
      <c r="D4" s="5" t="n">
        <v>1</v>
      </c>
      <c r="E4" s="5" t="inlineStr">
        <is>
          <t>Inicial</t>
        </is>
      </c>
      <c r="F4" s="5" t="inlineStr">
        <is>
          <t>I</t>
        </is>
      </c>
      <c r="G4" s="5" t="inlineStr">
        <is>
          <t>Capacitações em AIR não estão institucionalizadas;</t>
        </is>
      </c>
      <c r="H4" s="6" t="n"/>
      <c r="I4" s="6" t="n"/>
      <c r="J4" s="6" t="n"/>
      <c r="K4" s="6" t="inlineStr">
        <is>
          <t>pendente</t>
        </is>
      </c>
      <c r="L4" s="6" t="n"/>
      <c r="M4" s="5">
        <f>IF(H4="SIM",1,0)</f>
        <v/>
      </c>
      <c r="N4" s="5">
        <f>IF(AND(H4="SIM",K4="validado",I4&lt;&gt;""),1,0)</f>
        <v/>
      </c>
    </row>
    <row r="5">
      <c r="A5" s="5" t="inlineStr">
        <is>
          <t>ANATEL</t>
        </is>
      </c>
      <c r="B5" s="5" t="inlineStr">
        <is>
          <t>AIR_CAP.MC.II</t>
        </is>
      </c>
      <c r="C5" s="5" t="inlineStr">
        <is>
          <t>AIR_CAP</t>
        </is>
      </c>
      <c r="D5" s="5" t="n">
        <v>1</v>
      </c>
      <c r="E5" s="5" t="inlineStr">
        <is>
          <t>Melhoria Contínua</t>
        </is>
      </c>
      <c r="F5" s="5" t="inlineStr">
        <is>
          <t>II</t>
        </is>
      </c>
      <c r="G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" s="6" t="n"/>
      <c r="I5" s="6" t="n"/>
      <c r="J5" s="6" t="n"/>
      <c r="K5" s="6" t="inlineStr">
        <is>
          <t>pendente</t>
        </is>
      </c>
      <c r="L5" s="6" t="n"/>
      <c r="M5" s="5">
        <f>IF(H5="SIM",1,0)</f>
        <v/>
      </c>
      <c r="N5" s="5">
        <f>IF(AND(H5="SIM",K5="validado",I5&lt;&gt;""),1,0)</f>
        <v/>
      </c>
    </row>
    <row r="6">
      <c r="A6" s="5" t="inlineStr">
        <is>
          <t>ANATEL</t>
        </is>
      </c>
      <c r="B6" s="5" t="inlineStr">
        <is>
          <t>AIR_CAP.GER.II</t>
        </is>
      </c>
      <c r="C6" s="5" t="inlineStr">
        <is>
          <t>AIR_CAP</t>
        </is>
      </c>
      <c r="D6" s="5" t="n">
        <v>1</v>
      </c>
      <c r="E6" s="5" t="inlineStr">
        <is>
          <t>Gerenciado</t>
        </is>
      </c>
      <c r="F6" s="5" t="inlineStr">
        <is>
          <t>II</t>
        </is>
      </c>
      <c r="G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" s="6" t="n"/>
      <c r="I6" s="6" t="n"/>
      <c r="J6" s="6" t="n"/>
      <c r="K6" s="6" t="inlineStr">
        <is>
          <t>pendente</t>
        </is>
      </c>
      <c r="L6" s="6" t="n"/>
      <c r="M6" s="5">
        <f>IF(H6="SIM",1,0)</f>
        <v/>
      </c>
      <c r="N6" s="5">
        <f>IF(AND(H6="SIM",K6="validado",I6&lt;&gt;""),1,0)</f>
        <v/>
      </c>
    </row>
    <row r="7">
      <c r="A7" s="5" t="inlineStr">
        <is>
          <t>ANATEL</t>
        </is>
      </c>
      <c r="B7" s="5" t="inlineStr">
        <is>
          <t>AIR_CAP.INI.II</t>
        </is>
      </c>
      <c r="C7" s="5" t="inlineStr">
        <is>
          <t>AIR_CAP</t>
        </is>
      </c>
      <c r="D7" s="5" t="n">
        <v>1</v>
      </c>
      <c r="E7" s="5" t="inlineStr">
        <is>
          <t>Inicial</t>
        </is>
      </c>
      <c r="F7" s="5" t="inlineStr">
        <is>
          <t>II</t>
        </is>
      </c>
      <c r="G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" s="6" t="n"/>
      <c r="I7" s="6" t="n"/>
      <c r="J7" s="6" t="n"/>
      <c r="K7" s="6" t="inlineStr">
        <is>
          <t>pendente</t>
        </is>
      </c>
      <c r="L7" s="6" t="n"/>
      <c r="M7" s="5">
        <f>IF(H7="SIM",1,0)</f>
        <v/>
      </c>
      <c r="N7" s="5">
        <f>IF(AND(H7="SIM",K7="validado",I7&lt;&gt;""),1,0)</f>
        <v/>
      </c>
    </row>
    <row r="8">
      <c r="A8" s="5" t="inlineStr">
        <is>
          <t>ANATEL</t>
        </is>
      </c>
      <c r="B8" s="5" t="inlineStr">
        <is>
          <t>AIR_CAP.MC.III</t>
        </is>
      </c>
      <c r="C8" s="5" t="inlineStr">
        <is>
          <t>AIR_CAP</t>
        </is>
      </c>
      <c r="D8" s="5" t="n">
        <v>1</v>
      </c>
      <c r="E8" s="5" t="inlineStr">
        <is>
          <t>Melhoria Contínua</t>
        </is>
      </c>
      <c r="F8" s="5" t="inlineStr">
        <is>
          <t>III</t>
        </is>
      </c>
      <c r="G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" s="6" t="n"/>
      <c r="I8" s="6" t="n"/>
      <c r="J8" s="6" t="n"/>
      <c r="K8" s="6" t="inlineStr">
        <is>
          <t>pendente</t>
        </is>
      </c>
      <c r="L8" s="6" t="n"/>
      <c r="M8" s="5">
        <f>IF(H8="SIM",1,0)</f>
        <v/>
      </c>
      <c r="N8" s="5">
        <f>IF(AND(H8="SIM",K8="validado",I8&lt;&gt;""),1,0)</f>
        <v/>
      </c>
    </row>
    <row r="9">
      <c r="A9" s="5" t="inlineStr">
        <is>
          <t>ANATEL</t>
        </is>
      </c>
      <c r="B9" s="5" t="inlineStr">
        <is>
          <t>AIR_CAP.GER.III</t>
        </is>
      </c>
      <c r="C9" s="5" t="inlineStr">
        <is>
          <t>AIR_CAP</t>
        </is>
      </c>
      <c r="D9" s="5" t="n">
        <v>1</v>
      </c>
      <c r="E9" s="5" t="inlineStr">
        <is>
          <t>Gerenciado</t>
        </is>
      </c>
      <c r="F9" s="5" t="inlineStr">
        <is>
          <t>III</t>
        </is>
      </c>
      <c r="G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9" s="6" t="n"/>
      <c r="I9" s="6" t="n"/>
      <c r="J9" s="6" t="n"/>
      <c r="K9" s="6" t="inlineStr">
        <is>
          <t>pendente</t>
        </is>
      </c>
      <c r="L9" s="6" t="n"/>
      <c r="M9" s="5">
        <f>IF(H9="SIM",1,0)</f>
        <v/>
      </c>
      <c r="N9" s="5">
        <f>IF(AND(H9="SIM",K9="validado",I9&lt;&gt;""),1,0)</f>
        <v/>
      </c>
    </row>
    <row r="10">
      <c r="A10" s="5" t="inlineStr">
        <is>
          <t>ANATEL</t>
        </is>
      </c>
      <c r="B10" s="5" t="inlineStr">
        <is>
          <t>AIR_CAP.INI.III</t>
        </is>
      </c>
      <c r="C10" s="5" t="inlineStr">
        <is>
          <t>AIR_CAP</t>
        </is>
      </c>
      <c r="D10" s="5" t="n">
        <v>1</v>
      </c>
      <c r="E10" s="5" t="inlineStr">
        <is>
          <t>Inicial</t>
        </is>
      </c>
      <c r="F10" s="5" t="inlineStr">
        <is>
          <t>III</t>
        </is>
      </c>
      <c r="G1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0" s="6" t="n"/>
      <c r="I10" s="6" t="n"/>
      <c r="J10" s="6" t="n"/>
      <c r="K10" s="6" t="inlineStr">
        <is>
          <t>pendente</t>
        </is>
      </c>
      <c r="L10" s="6" t="n"/>
      <c r="M10" s="5">
        <f>IF(H10="SIM",1,0)</f>
        <v/>
      </c>
      <c r="N10" s="5">
        <f>IF(AND(H10="SIM",K10="validado",I10&lt;&gt;""),1,0)</f>
        <v/>
      </c>
    </row>
    <row r="11">
      <c r="A11" s="5" t="inlineStr">
        <is>
          <t>ANATEL</t>
        </is>
      </c>
      <c r="B11" s="5" t="inlineStr">
        <is>
          <t>AIR_CAP.GER.IV</t>
        </is>
      </c>
      <c r="C11" s="5" t="inlineStr">
        <is>
          <t>AIR_CAP</t>
        </is>
      </c>
      <c r="D11" s="5" t="n">
        <v>1</v>
      </c>
      <c r="E11" s="5" t="inlineStr">
        <is>
          <t>Gerenciado</t>
        </is>
      </c>
      <c r="F11" s="5" t="inlineStr">
        <is>
          <t>IV</t>
        </is>
      </c>
      <c r="G1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1" s="6" t="n"/>
      <c r="I11" s="6" t="n"/>
      <c r="J11" s="6" t="n"/>
      <c r="K11" s="6" t="inlineStr">
        <is>
          <t>pendente</t>
        </is>
      </c>
      <c r="L11" s="6" t="n"/>
      <c r="M11" s="5">
        <f>IF(H11="SIM",1,0)</f>
        <v/>
      </c>
      <c r="N11" s="5">
        <f>IF(AND(H11="SIM",K11="validado",I11&lt;&gt;""),1,0)</f>
        <v/>
      </c>
    </row>
    <row r="12">
      <c r="A12" s="5" t="inlineStr">
        <is>
          <t>ANATEL</t>
        </is>
      </c>
      <c r="B12" s="5" t="inlineStr">
        <is>
          <t>AIR_MET.MC.I</t>
        </is>
      </c>
      <c r="C12" s="5" t="inlineStr">
        <is>
          <t>AIR_MET</t>
        </is>
      </c>
      <c r="D12" s="5" t="n">
        <v>1</v>
      </c>
      <c r="E12" s="5" t="inlineStr">
        <is>
          <t>Melhoria Contínua</t>
        </is>
      </c>
      <c r="F12" s="5" t="inlineStr">
        <is>
          <t>I</t>
        </is>
      </c>
      <c r="G12" s="5" t="inlineStr">
        <is>
          <t>Critérios objetivos estabelecidos para classificação quanto ao nível de impacto e complexidade da AIR;</t>
        </is>
      </c>
      <c r="H12" s="6" t="n"/>
      <c r="I12" s="6" t="n"/>
      <c r="J12" s="6" t="n"/>
      <c r="K12" s="6" t="inlineStr">
        <is>
          <t>pendente</t>
        </is>
      </c>
      <c r="L12" s="6" t="n"/>
      <c r="M12" s="5">
        <f>IF(H12="SIM",1,0)</f>
        <v/>
      </c>
      <c r="N12" s="5">
        <f>IF(AND(H12="SIM",K12="validado",I12&lt;&gt;""),1,0)</f>
        <v/>
      </c>
    </row>
    <row r="13">
      <c r="A13" s="5" t="inlineStr">
        <is>
          <t>ANATEL</t>
        </is>
      </c>
      <c r="B13" s="5" t="inlineStr">
        <is>
          <t>AIR_MET.GER.I</t>
        </is>
      </c>
      <c r="C13" s="5" t="inlineStr">
        <is>
          <t>AIR_MET</t>
        </is>
      </c>
      <c r="D13" s="5" t="n">
        <v>1</v>
      </c>
      <c r="E13" s="5" t="inlineStr">
        <is>
          <t>Gerenciado</t>
        </is>
      </c>
      <c r="F13" s="5" t="inlineStr">
        <is>
          <t>I</t>
        </is>
      </c>
      <c r="G13" s="5" t="inlineStr">
        <is>
          <t>Existência de manual ou ato normativo interno instituindo a aplicabilidade institucional da AIR;</t>
        </is>
      </c>
      <c r="H13" s="6" t="n"/>
      <c r="I13" s="6" t="n"/>
      <c r="J13" s="6" t="n"/>
      <c r="K13" s="6" t="inlineStr">
        <is>
          <t>pendente</t>
        </is>
      </c>
      <c r="L13" s="6" t="n"/>
      <c r="M13" s="5">
        <f>IF(H13="SIM",1,0)</f>
        <v/>
      </c>
      <c r="N13" s="5">
        <f>IF(AND(H13="SIM",K13="validado",I13&lt;&gt;""),1,0)</f>
        <v/>
      </c>
    </row>
    <row r="14">
      <c r="A14" s="5" t="inlineStr">
        <is>
          <t>ANATEL</t>
        </is>
      </c>
      <c r="B14" s="5" t="inlineStr">
        <is>
          <t>AIR_MET.INI.I</t>
        </is>
      </c>
      <c r="C14" s="5" t="inlineStr">
        <is>
          <t>AIR_MET</t>
        </is>
      </c>
      <c r="D14" s="5" t="n">
        <v>1</v>
      </c>
      <c r="E14" s="5" t="inlineStr">
        <is>
          <t>Inicial</t>
        </is>
      </c>
      <c r="F14" s="5" t="inlineStr">
        <is>
          <t>I</t>
        </is>
      </c>
      <c r="G14" s="5" t="inlineStr">
        <is>
          <t>houve a publicação de normativo interno dispondo sobre a aplicação da AIR na instituição, conforme Decreto nº 10.411, de 2020.</t>
        </is>
      </c>
      <c r="H14" s="6" t="n"/>
      <c r="I14" s="6" t="n"/>
      <c r="J14" s="6" t="n"/>
      <c r="K14" s="6" t="inlineStr">
        <is>
          <t>pendente</t>
        </is>
      </c>
      <c r="L14" s="6" t="n"/>
      <c r="M14" s="5">
        <f>IF(H14="SIM",1,0)</f>
        <v/>
      </c>
      <c r="N14" s="5">
        <f>IF(AND(H14="SIM",K14="validado",I14&lt;&gt;""),1,0)</f>
        <v/>
      </c>
    </row>
    <row r="15">
      <c r="A15" s="5" t="inlineStr">
        <is>
          <t>ANATEL</t>
        </is>
      </c>
      <c r="B15" s="5" t="inlineStr">
        <is>
          <t>AIR_MET.MC.II</t>
        </is>
      </c>
      <c r="C15" s="5" t="inlineStr">
        <is>
          <t>AIR_MET</t>
        </is>
      </c>
      <c r="D15" s="5" t="n">
        <v>1</v>
      </c>
      <c r="E15" s="5" t="inlineStr">
        <is>
          <t>Melhoria Contínua</t>
        </is>
      </c>
      <c r="F15" s="5" t="inlineStr">
        <is>
          <t>II</t>
        </is>
      </c>
      <c r="G15" s="5" t="inlineStr">
        <is>
          <t>Metodologia contempla participação social prévia e posterior à elaboração da AIR, conforme complexidade do ato.</t>
        </is>
      </c>
      <c r="H15" s="6" t="n"/>
      <c r="I15" s="6" t="n"/>
      <c r="J15" s="6" t="n"/>
      <c r="K15" s="6" t="inlineStr">
        <is>
          <t>pendente</t>
        </is>
      </c>
      <c r="L15" s="6" t="n"/>
      <c r="M15" s="5">
        <f>IF(H15="SIM",1,0)</f>
        <v/>
      </c>
      <c r="N15" s="5">
        <f>IF(AND(H15="SIM",K15="validado",I15&lt;&gt;""),1,0)</f>
        <v/>
      </c>
    </row>
    <row r="16">
      <c r="A16" s="5" t="inlineStr">
        <is>
          <t>ANATEL</t>
        </is>
      </c>
      <c r="B16" s="5" t="inlineStr">
        <is>
          <t>AIR_MET.GER.II</t>
        </is>
      </c>
      <c r="C16" s="5" t="inlineStr">
        <is>
          <t>AIR_MET</t>
        </is>
      </c>
      <c r="D16" s="5" t="n">
        <v>1</v>
      </c>
      <c r="E16" s="5" t="inlineStr">
        <is>
          <t>Gerenciado</t>
        </is>
      </c>
      <c r="F16" s="5" t="inlineStr">
        <is>
          <t>II</t>
        </is>
      </c>
      <c r="G16" s="5" t="inlineStr">
        <is>
          <t>Existência de manual ou ato normativo dispondo sobre a participação social posterior relativa à AIR.</t>
        </is>
      </c>
      <c r="H16" s="6" t="n"/>
      <c r="I16" s="6" t="n"/>
      <c r="J16" s="6" t="n"/>
      <c r="K16" s="6" t="inlineStr">
        <is>
          <t>pendente</t>
        </is>
      </c>
      <c r="L16" s="6" t="n"/>
      <c r="M16" s="5">
        <f>IF(H16="SIM",1,0)</f>
        <v/>
      </c>
      <c r="N16" s="5">
        <f>IF(AND(H16="SIM",K16="validado",I16&lt;&gt;""),1,0)</f>
        <v/>
      </c>
    </row>
    <row r="17">
      <c r="A17" s="5" t="inlineStr">
        <is>
          <t>ANATEL</t>
        </is>
      </c>
      <c r="B17" s="5" t="inlineStr">
        <is>
          <t>AIR_PRO.MC.I</t>
        </is>
      </c>
      <c r="C17" s="5" t="inlineStr">
        <is>
          <t>AIR_PRO</t>
        </is>
      </c>
      <c r="D17" s="5" t="n">
        <v>1</v>
      </c>
      <c r="E17" s="5" t="inlineStr">
        <is>
          <t>Melhoria Contínua</t>
        </is>
      </c>
      <c r="F17" s="5" t="inlineStr">
        <is>
          <t>I</t>
        </is>
      </c>
      <c r="G17" s="5" t="inlineStr">
        <is>
          <t>Há processo contínuo de avaliação e melhoria do processo de elaboração de AIR;</t>
        </is>
      </c>
      <c r="H17" s="6" t="n"/>
      <c r="I17" s="6" t="n"/>
      <c r="J17" s="6" t="n"/>
      <c r="K17" s="6" t="inlineStr">
        <is>
          <t>pendente</t>
        </is>
      </c>
      <c r="L17" s="6" t="n"/>
      <c r="M17" s="5">
        <f>IF(H17="SIM",1,0)</f>
        <v/>
      </c>
      <c r="N17" s="5">
        <f>IF(AND(H17="SIM",K17="validado",I17&lt;&gt;""),1,0)</f>
        <v/>
      </c>
    </row>
    <row r="18">
      <c r="A18" s="5" t="inlineStr">
        <is>
          <t>ANATEL</t>
        </is>
      </c>
      <c r="B18" s="5" t="inlineStr">
        <is>
          <t>AIR_PRO.GER.I</t>
        </is>
      </c>
      <c r="C18" s="5" t="inlineStr">
        <is>
          <t>AIR_PRO</t>
        </is>
      </c>
      <c r="D18" s="5" t="n">
        <v>1</v>
      </c>
      <c r="E18" s="5" t="inlineStr">
        <is>
          <t>Gerenciado</t>
        </is>
      </c>
      <c r="F18" s="5" t="inlineStr">
        <is>
          <t>I</t>
        </is>
      </c>
      <c r="G18" s="5" t="inlineStr">
        <is>
          <t>Todas as AIRs são sempre realizadas conforme manual ou ato normativo interno e publicadas e acessíveis ao público na internet;</t>
        </is>
      </c>
      <c r="H18" s="6" t="n"/>
      <c r="I18" s="6" t="n"/>
      <c r="J18" s="6" t="n"/>
      <c r="K18" s="6" t="inlineStr">
        <is>
          <t>pendente</t>
        </is>
      </c>
      <c r="L18" s="6" t="n"/>
      <c r="M18" s="5">
        <f>IF(H18="SIM",1,0)</f>
        <v/>
      </c>
      <c r="N18" s="5">
        <f>IF(AND(H18="SIM",K18="validado",I18&lt;&gt;""),1,0)</f>
        <v/>
      </c>
    </row>
    <row r="19">
      <c r="A19" s="5" t="inlineStr">
        <is>
          <t>ANATEL</t>
        </is>
      </c>
      <c r="B19" s="5" t="inlineStr">
        <is>
          <t>AIR_PRO.INI.I</t>
        </is>
      </c>
      <c r="C19" s="5" t="inlineStr">
        <is>
          <t>AIR_PRO</t>
        </is>
      </c>
      <c r="D19" s="5" t="n">
        <v>1</v>
      </c>
      <c r="E19" s="5" t="inlineStr">
        <is>
          <t>Inicial</t>
        </is>
      </c>
      <c r="F19" s="5" t="inlineStr">
        <is>
          <t>I</t>
        </is>
      </c>
      <c r="G19" s="5" t="inlineStr">
        <is>
          <t>AIR é sempre realizada e a dispensa justificada, conforme critérios objetivos estabelecidos, conforme Decreto nº 10.411, de 2020;</t>
        </is>
      </c>
      <c r="H19" s="6" t="n"/>
      <c r="I19" s="6" t="n"/>
      <c r="J19" s="6" t="n"/>
      <c r="K19" s="6" t="inlineStr">
        <is>
          <t>pendente</t>
        </is>
      </c>
      <c r="L19" s="6" t="n"/>
      <c r="M19" s="5">
        <f>IF(H19="SIM",1,0)</f>
        <v/>
      </c>
      <c r="N19" s="5">
        <f>IF(AND(H19="SIM",K19="validado",I19&lt;&gt;""),1,0)</f>
        <v/>
      </c>
    </row>
    <row r="20">
      <c r="A20" s="5" t="inlineStr">
        <is>
          <t>ANATEL</t>
        </is>
      </c>
      <c r="B20" s="5" t="inlineStr">
        <is>
          <t>AIR_PRO.MC.II</t>
        </is>
      </c>
      <c r="C20" s="5" t="inlineStr">
        <is>
          <t>AIR_PRO</t>
        </is>
      </c>
      <c r="D20" s="5" t="n">
        <v>1</v>
      </c>
      <c r="E20" s="5" t="inlineStr">
        <is>
          <t>Melhoria Contínua</t>
        </is>
      </c>
      <c r="F20" s="5" t="inlineStr">
        <is>
          <t>II</t>
        </is>
      </c>
      <c r="G20" s="5" t="inlineStr">
        <is>
          <t>Existência de instrumento de avaliação de qualidade das AIRs realizadas;</t>
        </is>
      </c>
      <c r="H20" s="6" t="n"/>
      <c r="I20" s="6" t="n"/>
      <c r="J20" s="6" t="n"/>
      <c r="K20" s="6" t="inlineStr">
        <is>
          <t>pendente</t>
        </is>
      </c>
      <c r="L20" s="6" t="n"/>
      <c r="M20" s="5">
        <f>IF(H20="SIM",1,0)</f>
        <v/>
      </c>
      <c r="N20" s="5">
        <f>IF(AND(H20="SIM",K20="validado",I20&lt;&gt;""),1,0)</f>
        <v/>
      </c>
    </row>
    <row r="21">
      <c r="A21" s="5" t="inlineStr">
        <is>
          <t>ANATEL</t>
        </is>
      </c>
      <c r="B21" s="5" t="inlineStr">
        <is>
          <t>AIR_PRO.GER.II</t>
        </is>
      </c>
      <c r="C21" s="5" t="inlineStr">
        <is>
          <t>AIR_PRO</t>
        </is>
      </c>
      <c r="D21" s="5" t="n">
        <v>1</v>
      </c>
      <c r="E21" s="5" t="inlineStr">
        <is>
          <t>Gerenciado</t>
        </is>
      </c>
      <c r="F21" s="5" t="inlineStr">
        <is>
          <t>II</t>
        </is>
      </c>
      <c r="G21" s="5" t="inlineStr">
        <is>
          <t>O processo de elaboração de AIR está mapeado na instituição;</t>
        </is>
      </c>
      <c r="H21" s="6" t="n"/>
      <c r="I21" s="6" t="n"/>
      <c r="J21" s="6" t="n"/>
      <c r="K21" s="6" t="inlineStr">
        <is>
          <t>pendente</t>
        </is>
      </c>
      <c r="L21" s="6" t="n"/>
      <c r="M21" s="5">
        <f>IF(H21="SIM",1,0)</f>
        <v/>
      </c>
      <c r="N21" s="5">
        <f>IF(AND(H21="SIM",K21="validado",I21&lt;&gt;""),1,0)</f>
        <v/>
      </c>
    </row>
    <row r="22">
      <c r="A22" s="5" t="inlineStr">
        <is>
          <t>ANATEL</t>
        </is>
      </c>
      <c r="B22" s="5" t="inlineStr">
        <is>
          <t>AIR_PRO.INI.II</t>
        </is>
      </c>
      <c r="C22" s="5" t="inlineStr">
        <is>
          <t>AIR_PRO</t>
        </is>
      </c>
      <c r="D22" s="5" t="n">
        <v>1</v>
      </c>
      <c r="E22" s="5" t="inlineStr">
        <is>
          <t>Inicial</t>
        </is>
      </c>
      <c r="F22" s="5" t="inlineStr">
        <is>
          <t>II</t>
        </is>
      </c>
      <c r="G22" s="5" t="inlineStr">
        <is>
          <t>Todas as AIRs são publicadas e acessíveis ao público na internet;</t>
        </is>
      </c>
      <c r="H22" s="6" t="n"/>
      <c r="I22" s="6" t="n"/>
      <c r="J22" s="6" t="n"/>
      <c r="K22" s="6" t="inlineStr">
        <is>
          <t>pendente</t>
        </is>
      </c>
      <c r="L22" s="6" t="n"/>
      <c r="M22" s="5">
        <f>IF(H22="SIM",1,0)</f>
        <v/>
      </c>
      <c r="N22" s="5">
        <f>IF(AND(H22="SIM",K22="validado",I22&lt;&gt;""),1,0)</f>
        <v/>
      </c>
    </row>
    <row r="23">
      <c r="A23" s="5" t="inlineStr">
        <is>
          <t>ANATEL</t>
        </is>
      </c>
      <c r="B23" s="5" t="inlineStr">
        <is>
          <t>AIR_PRO.MC.III</t>
        </is>
      </c>
      <c r="C23" s="5" t="inlineStr">
        <is>
          <t>AIR_PRO</t>
        </is>
      </c>
      <c r="D23" s="5" t="n">
        <v>1</v>
      </c>
      <c r="E23" s="5" t="inlineStr">
        <is>
          <t>Melhoria Contínua</t>
        </is>
      </c>
      <c r="F23" s="5" t="inlineStr">
        <is>
          <t>III</t>
        </is>
      </c>
      <c r="G23" s="5" t="inlineStr">
        <is>
          <t>As AIRs de alto impacto/alta complexidade são submetidas à participação social prévia e posterior.</t>
        </is>
      </c>
      <c r="H23" s="6" t="n"/>
      <c r="I23" s="6" t="n"/>
      <c r="J23" s="6" t="n"/>
      <c r="K23" s="6" t="inlineStr">
        <is>
          <t>pendente</t>
        </is>
      </c>
      <c r="L23" s="6" t="n"/>
      <c r="M23" s="5">
        <f>IF(H23="SIM",1,0)</f>
        <v/>
      </c>
      <c r="N23" s="5">
        <f>IF(AND(H23="SIM",K23="validado",I23&lt;&gt;""),1,0)</f>
        <v/>
      </c>
    </row>
    <row r="24">
      <c r="A24" s="5" t="inlineStr">
        <is>
          <t>ANATEL</t>
        </is>
      </c>
      <c r="B24" s="5" t="inlineStr">
        <is>
          <t>AIR_PRO.GER.III</t>
        </is>
      </c>
      <c r="C24" s="5" t="inlineStr">
        <is>
          <t>AIR_PRO</t>
        </is>
      </c>
      <c r="D24" s="5" t="n">
        <v>1</v>
      </c>
      <c r="E24" s="5" t="inlineStr">
        <is>
          <t>Gerenciado</t>
        </is>
      </c>
      <c r="F24" s="5" t="inlineStr">
        <is>
          <t>III</t>
        </is>
      </c>
      <c r="G24" s="5" t="inlineStr">
        <is>
          <t>As AIRs são objeto de participação social posterior, conforme decisão técnica.</t>
        </is>
      </c>
      <c r="H24" s="6" t="n"/>
      <c r="I24" s="6" t="n"/>
      <c r="J24" s="6" t="n"/>
      <c r="K24" s="6" t="inlineStr">
        <is>
          <t>pendente</t>
        </is>
      </c>
      <c r="L24" s="6" t="n"/>
      <c r="M24" s="5">
        <f>IF(H24="SIM",1,0)</f>
        <v/>
      </c>
      <c r="N24" s="5">
        <f>IF(AND(H24="SIM",K24="validado",I24&lt;&gt;""),1,0)</f>
        <v/>
      </c>
    </row>
    <row r="25">
      <c r="A25" s="5" t="inlineStr">
        <is>
          <t>ANATEL</t>
        </is>
      </c>
      <c r="B25" s="5" t="inlineStr">
        <is>
          <t>AIR_PRO.INI.III</t>
        </is>
      </c>
      <c r="C25" s="5" t="inlineStr">
        <is>
          <t>AIR_PRO</t>
        </is>
      </c>
      <c r="D25" s="5" t="n">
        <v>1</v>
      </c>
      <c r="E25" s="5" t="inlineStr">
        <is>
          <t>Inicial</t>
        </is>
      </c>
      <c r="F25" s="5" t="inlineStr">
        <is>
          <t>III</t>
        </is>
      </c>
      <c r="G25" s="5" t="inlineStr">
        <is>
          <t>Participação Social é realizada, conforme Decreto nº 10.411, de 2020.</t>
        </is>
      </c>
      <c r="H25" s="6" t="n"/>
      <c r="I25" s="6" t="n"/>
      <c r="J25" s="6" t="n"/>
      <c r="K25" s="6" t="inlineStr">
        <is>
          <t>pendente</t>
        </is>
      </c>
      <c r="L25" s="6" t="n"/>
      <c r="M25" s="5">
        <f>IF(H25="SIM",1,0)</f>
        <v/>
      </c>
      <c r="N25" s="5">
        <f>IF(AND(H25="SIM",K25="validado",I25&lt;&gt;""),1,0)</f>
        <v/>
      </c>
    </row>
    <row r="26">
      <c r="A26" s="5" t="inlineStr">
        <is>
          <t>ANATEL</t>
        </is>
      </c>
      <c r="B26" s="5" t="inlineStr">
        <is>
          <t>PS.MC.I</t>
        </is>
      </c>
      <c r="C26" s="5" t="inlineStr">
        <is>
          <t>PS</t>
        </is>
      </c>
      <c r="D26" s="5" t="n">
        <v>2</v>
      </c>
      <c r="E26" s="5" t="inlineStr">
        <is>
          <t>Melhoria Contínua</t>
        </is>
      </c>
      <c r="F26" s="5" t="inlineStr">
        <is>
          <t>I</t>
        </is>
      </c>
      <c r="G26" s="5" t="inlineStr">
        <is>
          <t>A instituição realiza eventos de participação social para a construção do conhecimento sobre dada matéria e para o desenvolvimento de propostas;</t>
        </is>
      </c>
      <c r="H26" s="6" t="n"/>
      <c r="I26" s="6" t="n"/>
      <c r="J26" s="6" t="n"/>
      <c r="K26" s="6" t="inlineStr">
        <is>
          <t>pendente</t>
        </is>
      </c>
      <c r="L26" s="6" t="n"/>
      <c r="M26" s="5">
        <f>IF(H26="SIM",1,0)</f>
        <v/>
      </c>
      <c r="N26" s="5">
        <f>IF(AND(H26="SIM",K26="validado",I26&lt;&gt;""),1,0)</f>
        <v/>
      </c>
    </row>
    <row r="27">
      <c r="A27" s="5" t="inlineStr">
        <is>
          <t>ANATEL</t>
        </is>
      </c>
      <c r="B27" s="5" t="inlineStr">
        <is>
          <t>PS.GER.I</t>
        </is>
      </c>
      <c r="C27" s="5" t="inlineStr">
        <is>
          <t>PS</t>
        </is>
      </c>
      <c r="D27" s="5" t="n">
        <v>2</v>
      </c>
      <c r="E27" s="5" t="inlineStr">
        <is>
          <t>Gerenciado</t>
        </is>
      </c>
      <c r="F27" s="5" t="inlineStr">
        <is>
          <t>I</t>
        </is>
      </c>
      <c r="G27" s="5" t="inlineStr">
        <is>
          <t>Existência de manual ou ato normativo interno instituindo metodologia e procedimento de participação social;</t>
        </is>
      </c>
      <c r="H27" s="6" t="n"/>
      <c r="I27" s="6" t="n"/>
      <c r="J27" s="6" t="n"/>
      <c r="K27" s="6" t="inlineStr">
        <is>
          <t>pendente</t>
        </is>
      </c>
      <c r="L27" s="6" t="n"/>
      <c r="M27" s="5">
        <f>IF(H27="SIM",1,0)</f>
        <v/>
      </c>
      <c r="N27" s="5">
        <f>IF(AND(H27="SIM",K27="validado",I27&lt;&gt;""),1,0)</f>
        <v/>
      </c>
    </row>
    <row r="28">
      <c r="A28" s="5" t="inlineStr">
        <is>
          <t>ANATEL</t>
        </is>
      </c>
      <c r="B28" s="5" t="inlineStr">
        <is>
          <t>PS.INI.I</t>
        </is>
      </c>
      <c r="C28" s="5" t="inlineStr">
        <is>
          <t>PS</t>
        </is>
      </c>
      <c r="D28" s="5" t="n">
        <v>2</v>
      </c>
      <c r="E28" s="5" t="inlineStr">
        <is>
          <t>Inicial</t>
        </is>
      </c>
      <c r="F28" s="5" t="inlineStr">
        <is>
          <t>I</t>
        </is>
      </c>
      <c r="G2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8" s="6" t="n"/>
      <c r="I28" s="6" t="n"/>
      <c r="J28" s="6" t="n"/>
      <c r="K28" s="6" t="inlineStr">
        <is>
          <t>pendente</t>
        </is>
      </c>
      <c r="L28" s="6" t="n"/>
      <c r="M28" s="5">
        <f>IF(H28="SIM",1,0)</f>
        <v/>
      </c>
      <c r="N28" s="5">
        <f>IF(AND(H28="SIM",K28="validado",I28&lt;&gt;""),1,0)</f>
        <v/>
      </c>
    </row>
    <row r="29">
      <c r="A29" s="5" t="inlineStr">
        <is>
          <t>ANATEL</t>
        </is>
      </c>
      <c r="B29" s="5" t="inlineStr">
        <is>
          <t>PS.MC.II</t>
        </is>
      </c>
      <c r="C29" s="5" t="inlineStr">
        <is>
          <t>PS</t>
        </is>
      </c>
      <c r="D29" s="5" t="n">
        <v>2</v>
      </c>
      <c r="E29" s="5" t="inlineStr">
        <is>
          <t>Melhoria Contínua</t>
        </is>
      </c>
      <c r="F29" s="5" t="inlineStr">
        <is>
          <t>II</t>
        </is>
      </c>
      <c r="G29" s="5" t="inlineStr">
        <is>
          <t>Relatórios da Ouvidoria, relatórios do portal consumidor.gov, pesquisas de satisfação e dados de atendimento são utilizados para subsidiar as decisões regulatórias;</t>
        </is>
      </c>
      <c r="H29" s="6" t="n"/>
      <c r="I29" s="6" t="n"/>
      <c r="J29" s="6" t="n"/>
      <c r="K29" s="6" t="inlineStr">
        <is>
          <t>pendente</t>
        </is>
      </c>
      <c r="L29" s="6" t="n"/>
      <c r="M29" s="5">
        <f>IF(H29="SIM",1,0)</f>
        <v/>
      </c>
      <c r="N29" s="5">
        <f>IF(AND(H29="SIM",K29="validado",I29&lt;&gt;""),1,0)</f>
        <v/>
      </c>
    </row>
    <row r="30">
      <c r="A30" s="5" t="inlineStr">
        <is>
          <t>ANATEL</t>
        </is>
      </c>
      <c r="B30" s="5" t="inlineStr">
        <is>
          <t>PS.GER.II</t>
        </is>
      </c>
      <c r="C30" s="5" t="inlineStr">
        <is>
          <t>PS</t>
        </is>
      </c>
      <c r="D30" s="5" t="n">
        <v>2</v>
      </c>
      <c r="E30" s="5" t="inlineStr">
        <is>
          <t>Gerenciado</t>
        </is>
      </c>
      <c r="F30" s="5" t="inlineStr">
        <is>
          <t>II</t>
        </is>
      </c>
      <c r="G30" s="5" t="inlineStr">
        <is>
          <t>Os relatórios da Ouvidoria e os relatórios do portal consumidor.gov são utilizados para subsidiar as decisões regulatórias;</t>
        </is>
      </c>
      <c r="H30" s="6" t="n"/>
      <c r="I30" s="6" t="n"/>
      <c r="J30" s="6" t="n"/>
      <c r="K30" s="6" t="inlineStr">
        <is>
          <t>pendente</t>
        </is>
      </c>
      <c r="L30" s="6" t="n"/>
      <c r="M30" s="5">
        <f>IF(H30="SIM",1,0)</f>
        <v/>
      </c>
      <c r="N30" s="5">
        <f>IF(AND(H30="SIM",K30="validado",I30&lt;&gt;""),1,0)</f>
        <v/>
      </c>
    </row>
    <row r="31">
      <c r="A31" s="5" t="inlineStr">
        <is>
          <t>ANATEL</t>
        </is>
      </c>
      <c r="B31" s="5" t="inlineStr">
        <is>
          <t>PS.MC.III</t>
        </is>
      </c>
      <c r="C31" s="5" t="inlineStr">
        <is>
          <t>PS</t>
        </is>
      </c>
      <c r="D31" s="5" t="n">
        <v>2</v>
      </c>
      <c r="E31" s="5" t="inlineStr">
        <is>
          <t>Melhoria Contínua</t>
        </is>
      </c>
      <c r="F31" s="5" t="inlineStr">
        <is>
          <t>III</t>
        </is>
      </c>
      <c r="G31" s="5" t="inlineStr">
        <is>
          <t>Todos os instrumentos, processos e relatórios contendo as contribuições analisadas são divulgados no portal do órgão e/ou plataforma Participa Mais Brasil;</t>
        </is>
      </c>
      <c r="H31" s="6" t="n"/>
      <c r="I31" s="6" t="n"/>
      <c r="J31" s="6" t="n"/>
      <c r="K31" s="6" t="inlineStr">
        <is>
          <t>pendente</t>
        </is>
      </c>
      <c r="L31" s="6" t="n"/>
      <c r="M31" s="5">
        <f>IF(H31="SIM",1,0)</f>
        <v/>
      </c>
      <c r="N31" s="5">
        <f>IF(AND(H31="SIM",K31="validado",I31&lt;&gt;""),1,0)</f>
        <v/>
      </c>
    </row>
    <row r="32">
      <c r="A32" s="5" t="inlineStr">
        <is>
          <t>ANATEL</t>
        </is>
      </c>
      <c r="B32" s="5" t="inlineStr">
        <is>
          <t>PS.GER.III</t>
        </is>
      </c>
      <c r="C32" s="5" t="inlineStr">
        <is>
          <t>PS</t>
        </is>
      </c>
      <c r="D32" s="5" t="n">
        <v>2</v>
      </c>
      <c r="E32" s="5" t="inlineStr">
        <is>
          <t>Gerenciado</t>
        </is>
      </c>
      <c r="F32" s="5" t="inlineStr">
        <is>
          <t>III</t>
        </is>
      </c>
      <c r="G32" s="5" t="inlineStr">
        <is>
          <t>Todas as informações relativas aos processos em andamento são divulgadas no portal do órgão e/ou plataforma Participa Mais Brasil;</t>
        </is>
      </c>
      <c r="H32" s="6" t="n"/>
      <c r="I32" s="6" t="n"/>
      <c r="J32" s="6" t="n"/>
      <c r="K32" s="6" t="inlineStr">
        <is>
          <t>pendente</t>
        </is>
      </c>
      <c r="L32" s="6" t="n"/>
      <c r="M32" s="5">
        <f>IF(H32="SIM",1,0)</f>
        <v/>
      </c>
      <c r="N32" s="5">
        <f>IF(AND(H32="SIM",K32="validado",I32&lt;&gt;""),1,0)</f>
        <v/>
      </c>
    </row>
    <row r="33">
      <c r="A33" s="5" t="inlineStr">
        <is>
          <t>ANATEL</t>
        </is>
      </c>
      <c r="B33" s="5" t="inlineStr">
        <is>
          <t>PS.MC.IV</t>
        </is>
      </c>
      <c r="C33" s="5" t="inlineStr">
        <is>
          <t>PS</t>
        </is>
      </c>
      <c r="D33" s="5" t="n">
        <v>2</v>
      </c>
      <c r="E33" s="5" t="inlineStr">
        <is>
          <t>Melhoria Contínua</t>
        </is>
      </c>
      <c r="F33" s="5" t="inlineStr">
        <is>
          <t>IV</t>
        </is>
      </c>
      <c r="G33" s="5" t="inlineStr">
        <is>
          <t>A efetividade do evento de participação social é mensurada, conforme metodologia instituída.</t>
        </is>
      </c>
      <c r="H33" s="6" t="n"/>
      <c r="I33" s="6" t="n"/>
      <c r="J33" s="6" t="n"/>
      <c r="K33" s="6" t="inlineStr">
        <is>
          <t>pendente</t>
        </is>
      </c>
      <c r="L33" s="6" t="n"/>
      <c r="M33" s="5">
        <f>IF(H33="SIM",1,0)</f>
        <v/>
      </c>
      <c r="N33" s="5">
        <f>IF(AND(H33="SIM",K33="validado",I33&lt;&gt;""),1,0)</f>
        <v/>
      </c>
    </row>
    <row r="34">
      <c r="A34" s="5" t="inlineStr">
        <is>
          <t>ANATEL</t>
        </is>
      </c>
      <c r="B34" s="5" t="inlineStr">
        <is>
          <t>PS.GER.IV</t>
        </is>
      </c>
      <c r="C34" s="5" t="inlineStr">
        <is>
          <t>PS</t>
        </is>
      </c>
      <c r="D34" s="5" t="n">
        <v>2</v>
      </c>
      <c r="E34" s="5" t="inlineStr">
        <is>
          <t>Gerenciado</t>
        </is>
      </c>
      <c r="F34" s="5" t="inlineStr">
        <is>
          <t>IV</t>
        </is>
      </c>
      <c r="G34" s="5" t="inlineStr">
        <is>
          <t>A efetividade do evento de participação social é avaliada de forma intuitiva.</t>
        </is>
      </c>
      <c r="H34" s="6" t="n"/>
      <c r="I34" s="6" t="n"/>
      <c r="J34" s="6" t="n"/>
      <c r="K34" s="6" t="inlineStr">
        <is>
          <t>pendente</t>
        </is>
      </c>
      <c r="L34" s="6" t="n"/>
      <c r="M34" s="5">
        <f>IF(H34="SIM",1,0)</f>
        <v/>
      </c>
      <c r="N34" s="5">
        <f>IF(AND(H34="SIM",K34="validado",I34&lt;&gt;""),1,0)</f>
        <v/>
      </c>
    </row>
    <row r="35">
      <c r="A35" s="5" t="inlineStr">
        <is>
          <t>ANATEL</t>
        </is>
      </c>
      <c r="B35" s="5" t="inlineStr">
        <is>
          <t>EST.MC.I</t>
        </is>
      </c>
      <c r="C35" s="5" t="inlineStr">
        <is>
          <t>EST</t>
        </is>
      </c>
      <c r="D35" s="5" t="n">
        <v>3</v>
      </c>
      <c r="E35" s="5" t="inlineStr">
        <is>
          <t>Melhoria Contínua</t>
        </is>
      </c>
      <c r="F35" s="5" t="inlineStr">
        <is>
          <t>I</t>
        </is>
      </c>
      <c r="G35" s="5" t="inlineStr">
        <is>
          <t>As alterações do estoque regulatório da instituição são priorizadas por meio de uma agenda regulatória;</t>
        </is>
      </c>
      <c r="H35" s="6" t="n"/>
      <c r="I35" s="6" t="n"/>
      <c r="J35" s="6" t="n"/>
      <c r="K35" s="6" t="inlineStr">
        <is>
          <t>pendente</t>
        </is>
      </c>
      <c r="L35" s="6" t="n"/>
      <c r="M35" s="5">
        <f>IF(H35="SIM",1,0)</f>
        <v/>
      </c>
      <c r="N35" s="5">
        <f>IF(AND(H35="SIM",K35="validado",I35&lt;&gt;""),1,0)</f>
        <v/>
      </c>
    </row>
    <row r="36">
      <c r="A36" s="5" t="inlineStr">
        <is>
          <t>ANATEL</t>
        </is>
      </c>
      <c r="B36" s="5" t="inlineStr">
        <is>
          <t>EST.GER.I</t>
        </is>
      </c>
      <c r="C36" s="5" t="inlineStr">
        <is>
          <t>EST</t>
        </is>
      </c>
      <c r="D36" s="5" t="n">
        <v>3</v>
      </c>
      <c r="E36" s="5" t="inlineStr">
        <is>
          <t>Gerenciado</t>
        </is>
      </c>
      <c r="F36" s="5" t="inlineStr">
        <is>
          <t>I</t>
        </is>
      </c>
      <c r="G36" s="5" t="inlineStr">
        <is>
          <t>Normas publicadas e disponíveis de maneira sistematizada para consulta pública no portal gov.br;</t>
        </is>
      </c>
      <c r="H36" s="6" t="n"/>
      <c r="I36" s="6" t="n"/>
      <c r="J36" s="6" t="n"/>
      <c r="K36" s="6" t="inlineStr">
        <is>
          <t>pendente</t>
        </is>
      </c>
      <c r="L36" s="6" t="n"/>
      <c r="M36" s="5">
        <f>IF(H36="SIM",1,0)</f>
        <v/>
      </c>
      <c r="N36" s="5">
        <f>IF(AND(H36="SIM",K36="validado",I36&lt;&gt;""),1,0)</f>
        <v/>
      </c>
    </row>
    <row r="37">
      <c r="A37" s="5" t="inlineStr">
        <is>
          <t>ANATEL</t>
        </is>
      </c>
      <c r="B37" s="5" t="inlineStr">
        <is>
          <t>EST.INI.I</t>
        </is>
      </c>
      <c r="C37" s="5" t="inlineStr">
        <is>
          <t>EST</t>
        </is>
      </c>
      <c r="D37" s="5" t="n">
        <v>3</v>
      </c>
      <c r="E37" s="5" t="inlineStr">
        <is>
          <t>Inicial</t>
        </is>
      </c>
      <c r="F37" s="5" t="inlineStr">
        <is>
          <t>I</t>
        </is>
      </c>
      <c r="G37" s="5" t="inlineStr">
        <is>
          <t>Normas publicadas e disponíveis de maneira sistematizada para consulta pública na internet;</t>
        </is>
      </c>
      <c r="H37" s="6" t="n"/>
      <c r="I37" s="6" t="n"/>
      <c r="J37" s="6" t="n"/>
      <c r="K37" s="6" t="inlineStr">
        <is>
          <t>pendente</t>
        </is>
      </c>
      <c r="L37" s="6" t="n"/>
      <c r="M37" s="5">
        <f>IF(H37="SIM",1,0)</f>
        <v/>
      </c>
      <c r="N37" s="5">
        <f>IF(AND(H37="SIM",K37="validado",I37&lt;&gt;""),1,0)</f>
        <v/>
      </c>
    </row>
    <row r="38">
      <c r="A38" s="5" t="inlineStr">
        <is>
          <t>ANATEL</t>
        </is>
      </c>
      <c r="B38" s="5" t="inlineStr">
        <is>
          <t>EST.MC.II</t>
        </is>
      </c>
      <c r="C38" s="5" t="inlineStr">
        <is>
          <t>EST</t>
        </is>
      </c>
      <c r="D38" s="5" t="n">
        <v>3</v>
      </c>
      <c r="E38" s="5" t="inlineStr">
        <is>
          <t>Melhoria Contínua</t>
        </is>
      </c>
      <c r="F38" s="5" t="inlineStr">
        <is>
          <t>II</t>
        </is>
      </c>
      <c r="G38" s="5" t="inlineStr">
        <is>
          <t>Todas as novas normas passam pela análise de consolidação e compatibilização de normas vigentes.</t>
        </is>
      </c>
      <c r="H38" s="6" t="n"/>
      <c r="I38" s="6" t="n"/>
      <c r="J38" s="6" t="n"/>
      <c r="K38" s="6" t="inlineStr">
        <is>
          <t>pendente</t>
        </is>
      </c>
      <c r="L38" s="6" t="n"/>
      <c r="M38" s="5">
        <f>IF(H38="SIM",1,0)</f>
        <v/>
      </c>
      <c r="N38" s="5">
        <f>IF(AND(H38="SIM",K38="validado",I38&lt;&gt;""),1,0)</f>
        <v/>
      </c>
    </row>
    <row r="39">
      <c r="A39" s="5" t="inlineStr">
        <is>
          <t>ANATEL</t>
        </is>
      </c>
      <c r="B39" s="5" t="inlineStr">
        <is>
          <t>EST.GER.II</t>
        </is>
      </c>
      <c r="C39" s="5" t="inlineStr">
        <is>
          <t>EST</t>
        </is>
      </c>
      <c r="D39" s="5" t="n">
        <v>3</v>
      </c>
      <c r="E39" s="5" t="inlineStr">
        <is>
          <t>Gerenciado</t>
        </is>
      </c>
      <c r="F39" s="5" t="inlineStr">
        <is>
          <t>II</t>
        </is>
      </c>
      <c r="G39" s="5" t="inlineStr">
        <is>
          <t>Foi realizado levantamento quantitativo de todas as normas do órgão, bem como análise qualitativa, indexação e classificação por tema;</t>
        </is>
      </c>
      <c r="H39" s="6" t="n"/>
      <c r="I39" s="6" t="n"/>
      <c r="J39" s="6" t="n"/>
      <c r="K39" s="6" t="inlineStr">
        <is>
          <t>pendente</t>
        </is>
      </c>
      <c r="L39" s="6" t="n"/>
      <c r="M39" s="5">
        <f>IF(H39="SIM",1,0)</f>
        <v/>
      </c>
      <c r="N39" s="5">
        <f>IF(AND(H39="SIM",K39="validado",I39&lt;&gt;""),1,0)</f>
        <v/>
      </c>
    </row>
    <row r="40">
      <c r="A40" s="5" t="inlineStr">
        <is>
          <t>ANATEL</t>
        </is>
      </c>
      <c r="B40" s="5" t="inlineStr">
        <is>
          <t>EST.INI.II</t>
        </is>
      </c>
      <c r="C40" s="5" t="inlineStr">
        <is>
          <t>EST</t>
        </is>
      </c>
      <c r="D40" s="5" t="n">
        <v>3</v>
      </c>
      <c r="E40" s="5" t="inlineStr">
        <is>
          <t>Inicial</t>
        </is>
      </c>
      <c r="F40" s="5" t="inlineStr">
        <is>
          <t>II</t>
        </is>
      </c>
      <c r="G40" s="5" t="inlineStr">
        <is>
          <t>Foi realizado levantamento quantitativo de todas as normas do órgão.</t>
        </is>
      </c>
      <c r="H40" s="6" t="n"/>
      <c r="I40" s="6" t="n"/>
      <c r="J40" s="6" t="n"/>
      <c r="K40" s="6" t="inlineStr">
        <is>
          <t>pendente</t>
        </is>
      </c>
      <c r="L40" s="6" t="n"/>
      <c r="M40" s="5">
        <f>IF(H40="SIM",1,0)</f>
        <v/>
      </c>
      <c r="N40" s="5">
        <f>IF(AND(H40="SIM",K40="validado",I40&lt;&gt;""),1,0)</f>
        <v/>
      </c>
    </row>
    <row r="41">
      <c r="A41" s="5" t="inlineStr">
        <is>
          <t>ANATEL</t>
        </is>
      </c>
      <c r="B41" s="5" t="inlineStr">
        <is>
          <t>EST.GER.III</t>
        </is>
      </c>
      <c r="C41" s="5" t="inlineStr">
        <is>
          <t>EST</t>
        </is>
      </c>
      <c r="D41" s="5" t="n">
        <v>3</v>
      </c>
      <c r="E41" s="5" t="inlineStr">
        <is>
          <t>Gerenciado</t>
        </is>
      </c>
      <c r="F41" s="5" t="inlineStr">
        <is>
          <t>III</t>
        </is>
      </c>
      <c r="G41" s="5" t="inlineStr">
        <is>
          <t>Para toda a nova norma de alto impacto/alta complexidade foi estimado o fardo regulatório; e</t>
        </is>
      </c>
      <c r="H41" s="6" t="n"/>
      <c r="I41" s="6" t="n"/>
      <c r="J41" s="6" t="n"/>
      <c r="K41" s="6" t="inlineStr">
        <is>
          <t>pendente</t>
        </is>
      </c>
      <c r="L41" s="6" t="n"/>
      <c r="M41" s="5">
        <f>IF(H41="SIM",1,0)</f>
        <v/>
      </c>
      <c r="N41" s="5">
        <f>IF(AND(H41="SIM",K41="validado",I41&lt;&gt;""),1,0)</f>
        <v/>
      </c>
    </row>
    <row r="42">
      <c r="A42" s="5" t="inlineStr">
        <is>
          <t>ANATEL</t>
        </is>
      </c>
      <c r="B42" s="5" t="inlineStr">
        <is>
          <t>EST.GER.IV</t>
        </is>
      </c>
      <c r="C42" s="5" t="inlineStr">
        <is>
          <t>EST</t>
        </is>
      </c>
      <c r="D42" s="5" t="n">
        <v>3</v>
      </c>
      <c r="E42" s="5" t="inlineStr">
        <is>
          <t>Gerenciado</t>
        </is>
      </c>
      <c r="F42" s="5" t="inlineStr">
        <is>
          <t>IV</t>
        </is>
      </c>
      <c r="G42" s="5" t="inlineStr">
        <is>
          <t>Existe manutenção da consolidação normativa, conforme art. 19 do Decreto nº 10.139, de 28 de novembro de 2019.</t>
        </is>
      </c>
      <c r="H42" s="6" t="n"/>
      <c r="I42" s="6" t="n"/>
      <c r="J42" s="6" t="n"/>
      <c r="K42" s="6" t="inlineStr">
        <is>
          <t>pendente</t>
        </is>
      </c>
      <c r="L42" s="6" t="n"/>
      <c r="M42" s="5">
        <f>IF(H42="SIM",1,0)</f>
        <v/>
      </c>
      <c r="N42" s="5">
        <f>IF(AND(H42="SIM",K42="validado",I42&lt;&gt;""),1,0)</f>
        <v/>
      </c>
    </row>
    <row r="43">
      <c r="A43" s="5" t="inlineStr">
        <is>
          <t>ANATEL</t>
        </is>
      </c>
      <c r="B43" s="5" t="inlineStr">
        <is>
          <t>AGE.MC.I</t>
        </is>
      </c>
      <c r="C43" s="5" t="inlineStr">
        <is>
          <t>AGE</t>
        </is>
      </c>
      <c r="D43" s="5" t="n">
        <v>4</v>
      </c>
      <c r="E43" s="5" t="inlineStr">
        <is>
          <t>Melhoria Contínua</t>
        </is>
      </c>
      <c r="F43" s="5" t="inlineStr">
        <is>
          <t>I</t>
        </is>
      </c>
      <c r="G43" s="5" t="inlineStr">
        <is>
          <t>A elaboração da agenda regulatória tem ampla participação social, a qual é analisada, respondida e divulgada;</t>
        </is>
      </c>
      <c r="H43" s="6" t="n"/>
      <c r="I43" s="6" t="n"/>
      <c r="J43" s="6" t="n"/>
      <c r="K43" s="6" t="inlineStr">
        <is>
          <t>pendente</t>
        </is>
      </c>
      <c r="L43" s="6" t="n"/>
      <c r="M43" s="5">
        <f>IF(H43="SIM",1,0)</f>
        <v/>
      </c>
      <c r="N43" s="5">
        <f>IF(AND(H43="SIM",K43="validado",I43&lt;&gt;""),1,0)</f>
        <v/>
      </c>
    </row>
    <row r="44">
      <c r="A44" s="5" t="inlineStr">
        <is>
          <t>ANATEL</t>
        </is>
      </c>
      <c r="B44" s="5" t="inlineStr">
        <is>
          <t>AGE.GER.I</t>
        </is>
      </c>
      <c r="C44" s="5" t="inlineStr">
        <is>
          <t>AGE</t>
        </is>
      </c>
      <c r="D44" s="5" t="n">
        <v>4</v>
      </c>
      <c r="E44" s="5" t="inlineStr">
        <is>
          <t>Gerenciado</t>
        </is>
      </c>
      <c r="F44" s="5" t="inlineStr">
        <is>
          <t>I</t>
        </is>
      </c>
      <c r="G44" s="5" t="inlineStr">
        <is>
          <t>A elaboração da agenda regulatória tem ampla participação social, a qual é analisada, porém não respondida e divulgada;</t>
        </is>
      </c>
      <c r="H44" s="6" t="n"/>
      <c r="I44" s="6" t="n"/>
      <c r="J44" s="6" t="n"/>
      <c r="K44" s="6" t="inlineStr">
        <is>
          <t>pendente</t>
        </is>
      </c>
      <c r="L44" s="6" t="n"/>
      <c r="M44" s="5">
        <f>IF(H44="SIM",1,0)</f>
        <v/>
      </c>
      <c r="N44" s="5">
        <f>IF(AND(H44="SIM",K44="validado",I44&lt;&gt;""),1,0)</f>
        <v/>
      </c>
    </row>
    <row r="45">
      <c r="A45" s="5" t="inlineStr">
        <is>
          <t>ANATEL</t>
        </is>
      </c>
      <c r="B45" s="5" t="inlineStr">
        <is>
          <t>AGE.INI.I</t>
        </is>
      </c>
      <c r="C45" s="5" t="inlineStr">
        <is>
          <t>AGE</t>
        </is>
      </c>
      <c r="D45" s="5" t="n">
        <v>4</v>
      </c>
      <c r="E45" s="5" t="inlineStr">
        <is>
          <t>Inicial</t>
        </is>
      </c>
      <c r="F45" s="5" t="inlineStr">
        <is>
          <t>I</t>
        </is>
      </c>
      <c r="G45" s="5" t="inlineStr">
        <is>
          <t>Os temas da agenda regulatória são elencados e priorizados pelos gestores da agência;</t>
        </is>
      </c>
      <c r="H45" s="6" t="n"/>
      <c r="I45" s="6" t="n"/>
      <c r="J45" s="6" t="n"/>
      <c r="K45" s="6" t="inlineStr">
        <is>
          <t>pendente</t>
        </is>
      </c>
      <c r="L45" s="6" t="n"/>
      <c r="M45" s="5">
        <f>IF(H45="SIM",1,0)</f>
        <v/>
      </c>
      <c r="N45" s="5">
        <f>IF(AND(H45="SIM",K45="validado",I45&lt;&gt;""),1,0)</f>
        <v/>
      </c>
    </row>
    <row r="46">
      <c r="A46" s="5" t="inlineStr">
        <is>
          <t>ANATEL</t>
        </is>
      </c>
      <c r="B46" s="5" t="inlineStr">
        <is>
          <t>AGE.MC.II</t>
        </is>
      </c>
      <c r="C46" s="5" t="inlineStr">
        <is>
          <t>AGE</t>
        </is>
      </c>
      <c r="D46" s="5" t="n">
        <v>4</v>
      </c>
      <c r="E46" s="5" t="inlineStr">
        <is>
          <t>Melhoria Contínua</t>
        </is>
      </c>
      <c r="F46" s="5" t="inlineStr">
        <is>
          <t>II</t>
        </is>
      </c>
      <c r="G46" s="5" t="inlineStr">
        <is>
          <t>Os projetos da Agenda Regulatória estão aderentes ao planejamento estratégico vigente e estão correlacionados ao Plano de Gestão Anual;</t>
        </is>
      </c>
      <c r="H46" s="6" t="n"/>
      <c r="I46" s="6" t="n"/>
      <c r="J46" s="6" t="n"/>
      <c r="K46" s="6" t="inlineStr">
        <is>
          <t>pendente</t>
        </is>
      </c>
      <c r="L46" s="6" t="n"/>
      <c r="M46" s="5">
        <f>IF(H46="SIM",1,0)</f>
        <v/>
      </c>
      <c r="N46" s="5">
        <f>IF(AND(H46="SIM",K46="validado",I46&lt;&gt;""),1,0)</f>
        <v/>
      </c>
    </row>
    <row r="47">
      <c r="A47" s="5" t="inlineStr">
        <is>
          <t>ANATEL</t>
        </is>
      </c>
      <c r="B47" s="5" t="inlineStr">
        <is>
          <t>AGE.GER.II</t>
        </is>
      </c>
      <c r="C47" s="5" t="inlineStr">
        <is>
          <t>AGE</t>
        </is>
      </c>
      <c r="D47" s="5" t="n">
        <v>4</v>
      </c>
      <c r="E47" s="5" t="inlineStr">
        <is>
          <t>Gerenciado</t>
        </is>
      </c>
      <c r="F47" s="5" t="inlineStr">
        <is>
          <t>II</t>
        </is>
      </c>
      <c r="G4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7" s="6" t="n"/>
      <c r="I47" s="6" t="n"/>
      <c r="J47" s="6" t="n"/>
      <c r="K47" s="6" t="inlineStr">
        <is>
          <t>pendente</t>
        </is>
      </c>
      <c r="L47" s="6" t="n"/>
      <c r="M47" s="5">
        <f>IF(H47="SIM",1,0)</f>
        <v/>
      </c>
      <c r="N47" s="5">
        <f>IF(AND(H47="SIM",K47="validado",I47&lt;&gt;""),1,0)</f>
        <v/>
      </c>
    </row>
    <row r="48">
      <c r="A48" s="5" t="inlineStr">
        <is>
          <t>ANATEL</t>
        </is>
      </c>
      <c r="B48" s="5" t="inlineStr">
        <is>
          <t>AGE.INI.II</t>
        </is>
      </c>
      <c r="C48" s="5" t="inlineStr">
        <is>
          <t>AGE</t>
        </is>
      </c>
      <c r="D48" s="5" t="n">
        <v>4</v>
      </c>
      <c r="E48" s="5" t="inlineStr">
        <is>
          <t>Inicial</t>
        </is>
      </c>
      <c r="F48" s="5" t="inlineStr">
        <is>
          <t>II</t>
        </is>
      </c>
      <c r="G48" s="5" t="inlineStr">
        <is>
          <t>É avaliada a aderência da proposta de Agenda às políticas públicas.</t>
        </is>
      </c>
      <c r="H48" s="6" t="n"/>
      <c r="I48" s="6" t="n"/>
      <c r="J48" s="6" t="n"/>
      <c r="K48" s="6" t="inlineStr">
        <is>
          <t>pendente</t>
        </is>
      </c>
      <c r="L48" s="6" t="n"/>
      <c r="M48" s="5">
        <f>IF(H48="SIM",1,0)</f>
        <v/>
      </c>
      <c r="N48" s="5">
        <f>IF(AND(H48="SIM",K48="validado",I48&lt;&gt;""),1,0)</f>
        <v/>
      </c>
    </row>
    <row r="49">
      <c r="A49" s="5" t="inlineStr">
        <is>
          <t>ANATEL</t>
        </is>
      </c>
      <c r="B49" s="5" t="inlineStr">
        <is>
          <t>AGE.MC.III</t>
        </is>
      </c>
      <c r="C49" s="5" t="inlineStr">
        <is>
          <t>AGE</t>
        </is>
      </c>
      <c r="D49" s="5" t="n">
        <v>4</v>
      </c>
      <c r="E49" s="5" t="inlineStr">
        <is>
          <t>Melhoria Contínua</t>
        </is>
      </c>
      <c r="F49" s="5" t="inlineStr">
        <is>
          <t>III</t>
        </is>
      </c>
      <c r="G49" s="5" t="inlineStr">
        <is>
          <t>Cumprimento de, no mínimo, 80% da Agenda Regulatória;</t>
        </is>
      </c>
      <c r="H49" s="6" t="n"/>
      <c r="I49" s="6" t="n"/>
      <c r="J49" s="6" t="n"/>
      <c r="K49" s="6" t="inlineStr">
        <is>
          <t>pendente</t>
        </is>
      </c>
      <c r="L49" s="6" t="n"/>
      <c r="M49" s="5">
        <f>IF(H49="SIM",1,0)</f>
        <v/>
      </c>
      <c r="N49" s="5">
        <f>IF(AND(H49="SIM",K49="validado",I49&lt;&gt;""),1,0)</f>
        <v/>
      </c>
    </row>
    <row r="50">
      <c r="A50" s="5" t="inlineStr">
        <is>
          <t>ANATEL</t>
        </is>
      </c>
      <c r="B50" s="5" t="inlineStr">
        <is>
          <t>AGE.GER.III</t>
        </is>
      </c>
      <c r="C50" s="5" t="inlineStr">
        <is>
          <t>AGE</t>
        </is>
      </c>
      <c r="D50" s="5" t="n">
        <v>4</v>
      </c>
      <c r="E50" s="5" t="inlineStr">
        <is>
          <t>Gerenciado</t>
        </is>
      </c>
      <c r="F50" s="5" t="inlineStr">
        <is>
          <t>III</t>
        </is>
      </c>
      <c r="G50" s="5" t="inlineStr">
        <is>
          <t>Cumprimento de 50% a 79% da Agenda Regulatória;</t>
        </is>
      </c>
      <c r="H50" s="6" t="n"/>
      <c r="I50" s="6" t="n"/>
      <c r="J50" s="6" t="n"/>
      <c r="K50" s="6" t="inlineStr">
        <is>
          <t>pendente</t>
        </is>
      </c>
      <c r="L50" s="6" t="n"/>
      <c r="M50" s="5">
        <f>IF(H50="SIM",1,0)</f>
        <v/>
      </c>
      <c r="N50" s="5">
        <f>IF(AND(H50="SIM",K50="validado",I50&lt;&gt;""),1,0)</f>
        <v/>
      </c>
    </row>
    <row r="51">
      <c r="A51" s="5" t="inlineStr">
        <is>
          <t>ANATEL</t>
        </is>
      </c>
      <c r="B51" s="5" t="inlineStr">
        <is>
          <t>AGE.MC.IV</t>
        </is>
      </c>
      <c r="C51" s="5" t="inlineStr">
        <is>
          <t>AGE</t>
        </is>
      </c>
      <c r="D51" s="5" t="n">
        <v>4</v>
      </c>
      <c r="E51" s="5" t="inlineStr">
        <is>
          <t>Melhoria Contínua</t>
        </is>
      </c>
      <c r="F51" s="5" t="inlineStr">
        <is>
          <t>IV</t>
        </is>
      </c>
      <c r="G51" s="5" t="inlineStr">
        <is>
          <t>A execução da Agenda Regulatória é periodicamente monitorada e divulgada.</t>
        </is>
      </c>
      <c r="H51" s="6" t="n"/>
      <c r="I51" s="6" t="n"/>
      <c r="J51" s="6" t="n"/>
      <c r="K51" s="6" t="inlineStr">
        <is>
          <t>pendente</t>
        </is>
      </c>
      <c r="L51" s="6" t="n"/>
      <c r="M51" s="5">
        <f>IF(H51="SIM",1,0)</f>
        <v/>
      </c>
      <c r="N51" s="5">
        <f>IF(AND(H51="SIM",K51="validado",I51&lt;&gt;""),1,0)</f>
        <v/>
      </c>
    </row>
    <row r="52">
      <c r="A52" s="5" t="inlineStr">
        <is>
          <t>ANATEL</t>
        </is>
      </c>
      <c r="B52" s="5" t="inlineStr">
        <is>
          <t>AGE.GER.IV</t>
        </is>
      </c>
      <c r="C52" s="5" t="inlineStr">
        <is>
          <t>AGE</t>
        </is>
      </c>
      <c r="D52" s="5" t="n">
        <v>4</v>
      </c>
      <c r="E52" s="5" t="inlineStr">
        <is>
          <t>Gerenciado</t>
        </is>
      </c>
      <c r="F52" s="5" t="inlineStr">
        <is>
          <t>IV</t>
        </is>
      </c>
      <c r="G52" s="5" t="inlineStr">
        <is>
          <t>A execução da Agenda Regulatória é periodicamente monitorada.</t>
        </is>
      </c>
      <c r="H52" s="6" t="n"/>
      <c r="I52" s="6" t="n"/>
      <c r="J52" s="6" t="n"/>
      <c r="K52" s="6" t="inlineStr">
        <is>
          <t>pendente</t>
        </is>
      </c>
      <c r="L52" s="6" t="n"/>
      <c r="M52" s="5">
        <f>IF(H52="SIM",1,0)</f>
        <v/>
      </c>
      <c r="N52" s="5">
        <f>IF(AND(H52="SIM",K52="validado",I52&lt;&gt;""),1,0)</f>
        <v/>
      </c>
    </row>
    <row r="53">
      <c r="A53" s="5" t="inlineStr">
        <is>
          <t>ANATEL</t>
        </is>
      </c>
      <c r="B53" s="5" t="inlineStr">
        <is>
          <t>PRO.MC.I</t>
        </is>
      </c>
      <c r="C53" s="5" t="inlineStr">
        <is>
          <t>PRO</t>
        </is>
      </c>
      <c r="D53" s="5" t="n">
        <v>5</v>
      </c>
      <c r="E53" s="5" t="inlineStr">
        <is>
          <t>Melhoria Contínua</t>
        </is>
      </c>
      <c r="F53" s="5" t="inlineStr">
        <is>
          <t>I</t>
        </is>
      </c>
      <c r="G53" s="5" t="inlineStr">
        <is>
          <t>Indicadores de processo normativo estabelecidos e monitorados;</t>
        </is>
      </c>
      <c r="H53" s="6" t="n"/>
      <c r="I53" s="6" t="n"/>
      <c r="J53" s="6" t="n"/>
      <c r="K53" s="6" t="inlineStr">
        <is>
          <t>pendente</t>
        </is>
      </c>
      <c r="L53" s="6" t="n"/>
      <c r="M53" s="5">
        <f>IF(H53="SIM",1,0)</f>
        <v/>
      </c>
      <c r="N53" s="5">
        <f>IF(AND(H53="SIM",K53="validado",I53&lt;&gt;""),1,0)</f>
        <v/>
      </c>
    </row>
    <row r="54">
      <c r="A54" s="5" t="inlineStr">
        <is>
          <t>ANATEL</t>
        </is>
      </c>
      <c r="B54" s="5" t="inlineStr">
        <is>
          <t>PRO.GER.I</t>
        </is>
      </c>
      <c r="C54" s="5" t="inlineStr">
        <is>
          <t>PRO</t>
        </is>
      </c>
      <c r="D54" s="5" t="n">
        <v>5</v>
      </c>
      <c r="E54" s="5" t="inlineStr">
        <is>
          <t>Gerenciado</t>
        </is>
      </c>
      <c r="F54" s="5" t="inlineStr">
        <is>
          <t>I</t>
        </is>
      </c>
      <c r="G54" s="5" t="inlineStr">
        <is>
          <t>as intervenções de participação social estão claramente inseridas no processo.</t>
        </is>
      </c>
      <c r="H54" s="6" t="n"/>
      <c r="I54" s="6" t="n"/>
      <c r="J54" s="6" t="n"/>
      <c r="K54" s="6" t="inlineStr">
        <is>
          <t>pendente</t>
        </is>
      </c>
      <c r="L54" s="6" t="n"/>
      <c r="M54" s="5">
        <f>IF(H54="SIM",1,0)</f>
        <v/>
      </c>
      <c r="N54" s="5">
        <f>IF(AND(H54="SIM",K54="validado",I54&lt;&gt;""),1,0)</f>
        <v/>
      </c>
    </row>
    <row r="55">
      <c r="A55" s="5" t="inlineStr">
        <is>
          <t>ANATEL</t>
        </is>
      </c>
      <c r="B55" s="5" t="inlineStr">
        <is>
          <t>PRO.INI.I</t>
        </is>
      </c>
      <c r="C55" s="5" t="inlineStr">
        <is>
          <t>PRO</t>
        </is>
      </c>
      <c r="D55" s="5" t="n">
        <v>5</v>
      </c>
      <c r="E55" s="5" t="inlineStr">
        <is>
          <t>Inicial</t>
        </is>
      </c>
      <c r="F55" s="5" t="inlineStr">
        <is>
          <t>I</t>
        </is>
      </c>
      <c r="G55" s="5" t="inlineStr">
        <is>
          <t>O fluxo do processo normativo é formalizado de forma bem definida e clara;</t>
        </is>
      </c>
      <c r="H55" s="6" t="n"/>
      <c r="I55" s="6" t="n"/>
      <c r="J55" s="6" t="n"/>
      <c r="K55" s="6" t="inlineStr">
        <is>
          <t>pendente</t>
        </is>
      </c>
      <c r="L55" s="6" t="n"/>
      <c r="M55" s="5">
        <f>IF(H55="SIM",1,0)</f>
        <v/>
      </c>
      <c r="N55" s="5">
        <f>IF(AND(H55="SIM",K55="validado",I55&lt;&gt;""),1,0)</f>
        <v/>
      </c>
    </row>
    <row r="56">
      <c r="A56" s="5" t="inlineStr">
        <is>
          <t>ANATEL</t>
        </is>
      </c>
      <c r="B56" s="5" t="inlineStr">
        <is>
          <t>PRO.MC.II</t>
        </is>
      </c>
      <c r="C56" s="5" t="inlineStr">
        <is>
          <t>PRO</t>
        </is>
      </c>
      <c r="D56" s="5" t="n">
        <v>5</v>
      </c>
      <c r="E56" s="5" t="inlineStr">
        <is>
          <t>Melhoria Contínua</t>
        </is>
      </c>
      <c r="F56" s="5" t="inlineStr">
        <is>
          <t>II</t>
        </is>
      </c>
      <c r="G56" s="5" t="inlineStr">
        <is>
          <t>Há processo contínuo de avaliação e melhoria do processo normativo, utilizando o resultado dos indicadores.</t>
        </is>
      </c>
      <c r="H56" s="6" t="n"/>
      <c r="I56" s="6" t="n"/>
      <c r="J56" s="6" t="n"/>
      <c r="K56" s="6" t="inlineStr">
        <is>
          <t>pendente</t>
        </is>
      </c>
      <c r="L56" s="6" t="n"/>
      <c r="M56" s="5">
        <f>IF(H56="SIM",1,0)</f>
        <v/>
      </c>
      <c r="N56" s="5">
        <f>IF(AND(H56="SIM",K56="validado",I56&lt;&gt;""),1,0)</f>
        <v/>
      </c>
    </row>
    <row r="57">
      <c r="A57" s="5" t="inlineStr">
        <is>
          <t>ANATEL</t>
        </is>
      </c>
      <c r="B57" s="5" t="inlineStr">
        <is>
          <t>PRO.INI.II</t>
        </is>
      </c>
      <c r="C57" s="5" t="inlineStr">
        <is>
          <t>PRO</t>
        </is>
      </c>
      <c r="D57" s="5" t="n">
        <v>5</v>
      </c>
      <c r="E57" s="5" t="inlineStr">
        <is>
          <t>Inicial</t>
        </is>
      </c>
      <c r="F57" s="5" t="inlineStr">
        <is>
          <t>II</t>
        </is>
      </c>
      <c r="G57" s="5" t="inlineStr">
        <is>
          <t>As instâncias de aprovação estabelecidas são claras e formalizadas.</t>
        </is>
      </c>
      <c r="H57" s="6" t="n"/>
      <c r="I57" s="6" t="n"/>
      <c r="J57" s="6" t="n"/>
      <c r="K57" s="6" t="inlineStr">
        <is>
          <t>pendente</t>
        </is>
      </c>
      <c r="L57" s="6" t="n"/>
      <c r="M57" s="5">
        <f>IF(H57="SIM",1,0)</f>
        <v/>
      </c>
      <c r="N57" s="5">
        <f>IF(AND(H57="SIM",K57="validado",I57&lt;&gt;""),1,0)</f>
        <v/>
      </c>
    </row>
    <row r="58">
      <c r="A58" s="5" t="inlineStr">
        <is>
          <t>ANATEL</t>
        </is>
      </c>
      <c r="B58" s="5" t="inlineStr">
        <is>
          <t>ARR_CAP.MC.I</t>
        </is>
      </c>
      <c r="C58" s="5" t="inlineStr">
        <is>
          <t>ARR_CAP</t>
        </is>
      </c>
      <c r="D58" s="5" t="n">
        <v>6</v>
      </c>
      <c r="E58" s="5" t="inlineStr">
        <is>
          <t>Melhoria Contínua</t>
        </is>
      </c>
      <c r="F58" s="5" t="inlineStr">
        <is>
          <t>I</t>
        </is>
      </c>
      <c r="G58" s="5" t="inlineStr">
        <is>
          <t>Plano de capacitação formalizado e em execução, incluindo permanente reciclagem em ARR;</t>
        </is>
      </c>
      <c r="H58" s="6" t="n"/>
      <c r="I58" s="6" t="n"/>
      <c r="J58" s="6" t="n"/>
      <c r="K58" s="6" t="inlineStr">
        <is>
          <t>pendente</t>
        </is>
      </c>
      <c r="L58" s="6" t="n"/>
      <c r="M58" s="5">
        <f>IF(H58="SIM",1,0)</f>
        <v/>
      </c>
      <c r="N58" s="5">
        <f>IF(AND(H58="SIM",K58="validado",I58&lt;&gt;""),1,0)</f>
        <v/>
      </c>
    </row>
    <row r="59">
      <c r="A59" s="5" t="inlineStr">
        <is>
          <t>ANATEL</t>
        </is>
      </c>
      <c r="B59" s="5" t="inlineStr">
        <is>
          <t>ARR_CAP.GER.I</t>
        </is>
      </c>
      <c r="C59" s="5" t="inlineStr">
        <is>
          <t>ARR_CAP</t>
        </is>
      </c>
      <c r="D59" s="5" t="n">
        <v>6</v>
      </c>
      <c r="E59" s="5" t="inlineStr">
        <is>
          <t>Gerenciado</t>
        </is>
      </c>
      <c r="F59" s="5" t="inlineStr">
        <is>
          <t>I</t>
        </is>
      </c>
      <c r="G59" s="5" t="inlineStr">
        <is>
          <t>Capacitações institucionalizadas, sem um plano formalizado;</t>
        </is>
      </c>
      <c r="H59" s="6" t="n"/>
      <c r="I59" s="6" t="n"/>
      <c r="J59" s="6" t="n"/>
      <c r="K59" s="6" t="inlineStr">
        <is>
          <t>pendente</t>
        </is>
      </c>
      <c r="L59" s="6" t="n"/>
      <c r="M59" s="5">
        <f>IF(H59="SIM",1,0)</f>
        <v/>
      </c>
      <c r="N59" s="5">
        <f>IF(AND(H59="SIM",K59="validado",I59&lt;&gt;""),1,0)</f>
        <v/>
      </c>
    </row>
    <row r="60">
      <c r="A60" s="5" t="inlineStr">
        <is>
          <t>ANATEL</t>
        </is>
      </c>
      <c r="B60" s="5" t="inlineStr">
        <is>
          <t>ARR_CAP.INI.I</t>
        </is>
      </c>
      <c r="C60" s="5" t="inlineStr">
        <is>
          <t>ARR_CAP</t>
        </is>
      </c>
      <c r="D60" s="5" t="n">
        <v>6</v>
      </c>
      <c r="E60" s="5" t="inlineStr">
        <is>
          <t>Inicial</t>
        </is>
      </c>
      <c r="F60" s="5" t="inlineStr">
        <is>
          <t>I</t>
        </is>
      </c>
      <c r="G60" s="5" t="inlineStr">
        <is>
          <t>Capacitações não estão institucionalizadas;</t>
        </is>
      </c>
      <c r="H60" s="6" t="n"/>
      <c r="I60" s="6" t="n"/>
      <c r="J60" s="6" t="n"/>
      <c r="K60" s="6" t="inlineStr">
        <is>
          <t>pendente</t>
        </is>
      </c>
      <c r="L60" s="6" t="n"/>
      <c r="M60" s="5">
        <f>IF(H60="SIM",1,0)</f>
        <v/>
      </c>
      <c r="N60" s="5">
        <f>IF(AND(H60="SIM",K60="validado",I60&lt;&gt;""),1,0)</f>
        <v/>
      </c>
    </row>
    <row r="61">
      <c r="A61" s="5" t="inlineStr">
        <is>
          <t>ANATEL</t>
        </is>
      </c>
      <c r="B61" s="5" t="inlineStr">
        <is>
          <t>ARR_CAP.MC.II</t>
        </is>
      </c>
      <c r="C61" s="5" t="inlineStr">
        <is>
          <t>ARR_CAP</t>
        </is>
      </c>
      <c r="D61" s="5" t="n">
        <v>6</v>
      </c>
      <c r="E61" s="5" t="inlineStr">
        <is>
          <t>Melhoria Contínua</t>
        </is>
      </c>
      <c r="F61" s="5" t="inlineStr">
        <is>
          <t>II</t>
        </is>
      </c>
      <c r="G61" s="5" t="inlineStr">
        <is>
          <t>No mínimo, 75% dos servidores envolvidos em elaboração de regulação capacitados em ARR.</t>
        </is>
      </c>
      <c r="H61" s="6" t="n"/>
      <c r="I61" s="6" t="n"/>
      <c r="J61" s="6" t="n"/>
      <c r="K61" s="6" t="inlineStr">
        <is>
          <t>pendente</t>
        </is>
      </c>
      <c r="L61" s="6" t="n"/>
      <c r="M61" s="5">
        <f>IF(H61="SIM",1,0)</f>
        <v/>
      </c>
      <c r="N61" s="5">
        <f>IF(AND(H61="SIM",K61="validado",I61&lt;&gt;""),1,0)</f>
        <v/>
      </c>
    </row>
    <row r="62">
      <c r="A62" s="5" t="inlineStr">
        <is>
          <t>ANATEL</t>
        </is>
      </c>
      <c r="B62" s="5" t="inlineStr">
        <is>
          <t>ARR_CAP.GER.II</t>
        </is>
      </c>
      <c r="C62" s="5" t="inlineStr">
        <is>
          <t>ARR_CAP</t>
        </is>
      </c>
      <c r="D62" s="5" t="n">
        <v>6</v>
      </c>
      <c r="E62" s="5" t="inlineStr">
        <is>
          <t>Gerenciado</t>
        </is>
      </c>
      <c r="F62" s="5" t="inlineStr">
        <is>
          <t>II</t>
        </is>
      </c>
      <c r="G62" s="5" t="inlineStr">
        <is>
          <t>de 50% a 74% dos servidores envolvidos em elaboração de regulação capacitados em ARR;</t>
        </is>
      </c>
      <c r="H62" s="6" t="n"/>
      <c r="I62" s="6" t="n"/>
      <c r="J62" s="6" t="n"/>
      <c r="K62" s="6" t="inlineStr">
        <is>
          <t>pendente</t>
        </is>
      </c>
      <c r="L62" s="6" t="n"/>
      <c r="M62" s="5">
        <f>IF(H62="SIM",1,0)</f>
        <v/>
      </c>
      <c r="N62" s="5">
        <f>IF(AND(H62="SIM",K62="validado",I62&lt;&gt;""),1,0)</f>
        <v/>
      </c>
    </row>
    <row r="63">
      <c r="A63" s="5" t="inlineStr">
        <is>
          <t>ANATEL</t>
        </is>
      </c>
      <c r="B63" s="5" t="inlineStr">
        <is>
          <t>ARR_CAP.INI.II</t>
        </is>
      </c>
      <c r="C63" s="5" t="inlineStr">
        <is>
          <t>ARR_CAP</t>
        </is>
      </c>
      <c r="D63" s="5" t="n">
        <v>6</v>
      </c>
      <c r="E63" s="5" t="inlineStr">
        <is>
          <t>Inicial</t>
        </is>
      </c>
      <c r="F63" s="5" t="inlineStr">
        <is>
          <t>II</t>
        </is>
      </c>
      <c r="G63" s="5" t="inlineStr">
        <is>
          <t>de 25% a 49% dos servidores envolvidos em elaboração de regulação capacitados em ARR.</t>
        </is>
      </c>
      <c r="H63" s="6" t="n"/>
      <c r="I63" s="6" t="n"/>
      <c r="J63" s="6" t="n"/>
      <c r="K63" s="6" t="inlineStr">
        <is>
          <t>pendente</t>
        </is>
      </c>
      <c r="L63" s="6" t="n"/>
      <c r="M63" s="5">
        <f>IF(H63="SIM",1,0)</f>
        <v/>
      </c>
      <c r="N63" s="5">
        <f>IF(AND(H63="SIM",K63="validado",I63&lt;&gt;""),1,0)</f>
        <v/>
      </c>
    </row>
    <row r="64">
      <c r="A64" s="5" t="inlineStr">
        <is>
          <t>ANATEL</t>
        </is>
      </c>
      <c r="B64" s="5" t="inlineStr">
        <is>
          <t>ARR_MET.MC.I</t>
        </is>
      </c>
      <c r="C64" s="5" t="inlineStr">
        <is>
          <t>ARR_MET</t>
        </is>
      </c>
      <c r="D64" s="5" t="n">
        <v>6</v>
      </c>
      <c r="E64" s="5" t="inlineStr">
        <is>
          <t>Melhoria Contínua</t>
        </is>
      </c>
      <c r="F64" s="5" t="inlineStr">
        <is>
          <t>I</t>
        </is>
      </c>
      <c r="G64" s="5" t="inlineStr">
        <is>
          <t>Metodologia de elaboração de ARR contempla a participação social, conforme complexidade do ato;</t>
        </is>
      </c>
      <c r="H64" s="6" t="n"/>
      <c r="I64" s="6" t="n"/>
      <c r="J64" s="6" t="n"/>
      <c r="K64" s="6" t="inlineStr">
        <is>
          <t>pendente</t>
        </is>
      </c>
      <c r="L64" s="6" t="n"/>
      <c r="M64" s="5">
        <f>IF(H64="SIM",1,0)</f>
        <v/>
      </c>
      <c r="N64" s="5">
        <f>IF(AND(H64="SIM",K64="validado",I64&lt;&gt;""),1,0)</f>
        <v/>
      </c>
    </row>
    <row r="65">
      <c r="A65" s="5" t="inlineStr">
        <is>
          <t>ANATEL</t>
        </is>
      </c>
      <c r="B65" s="5" t="inlineStr">
        <is>
          <t>ARR_MET.GER.I</t>
        </is>
      </c>
      <c r="C65" s="5" t="inlineStr">
        <is>
          <t>ARR_MET</t>
        </is>
      </c>
      <c r="D65" s="5" t="n">
        <v>6</v>
      </c>
      <c r="E65" s="5" t="inlineStr">
        <is>
          <t>Gerenciado</t>
        </is>
      </c>
      <c r="F65" s="5" t="inlineStr">
        <is>
          <t>I</t>
        </is>
      </c>
      <c r="G65" s="5" t="inlineStr">
        <is>
          <t>Existência de manual ou ato normativo instituindo a aplicabilidade de ARR no órgão;</t>
        </is>
      </c>
      <c r="H65" s="6" t="n"/>
      <c r="I65" s="6" t="n"/>
      <c r="J65" s="6" t="n"/>
      <c r="K65" s="6" t="inlineStr">
        <is>
          <t>pendente</t>
        </is>
      </c>
      <c r="L65" s="6" t="n"/>
      <c r="M65" s="5">
        <f>IF(H65="SIM",1,0)</f>
        <v/>
      </c>
      <c r="N65" s="5">
        <f>IF(AND(H65="SIM",K65="validado",I65&lt;&gt;""),1,0)</f>
        <v/>
      </c>
    </row>
    <row r="66">
      <c r="A66" s="5" t="inlineStr">
        <is>
          <t>ANATEL</t>
        </is>
      </c>
      <c r="B66" s="5" t="inlineStr">
        <is>
          <t>ARR_MET.INI.I</t>
        </is>
      </c>
      <c r="C66" s="5" t="inlineStr">
        <is>
          <t>ARR_MET</t>
        </is>
      </c>
      <c r="D66" s="5" t="n">
        <v>6</v>
      </c>
      <c r="E66" s="5" t="inlineStr">
        <is>
          <t>Inicial</t>
        </is>
      </c>
      <c r="F66" s="5" t="inlineStr">
        <is>
          <t>I</t>
        </is>
      </c>
      <c r="G66" s="5" t="inlineStr">
        <is>
          <t>existe Agenda de ARR, conforme determinado no Decreto nº 10.411, de 2020.</t>
        </is>
      </c>
      <c r="H66" s="6" t="n"/>
      <c r="I66" s="6" t="n"/>
      <c r="J66" s="6" t="n"/>
      <c r="K66" s="6" t="inlineStr">
        <is>
          <t>pendente</t>
        </is>
      </c>
      <c r="L66" s="6" t="n"/>
      <c r="M66" s="5">
        <f>IF(H66="SIM",1,0)</f>
        <v/>
      </c>
      <c r="N66" s="5">
        <f>IF(AND(H66="SIM",K66="validado",I66&lt;&gt;""),1,0)</f>
        <v/>
      </c>
    </row>
    <row r="67">
      <c r="A67" s="5" t="inlineStr">
        <is>
          <t>ANATEL</t>
        </is>
      </c>
      <c r="B67" s="5" t="inlineStr">
        <is>
          <t>ARR_MET.MC.II</t>
        </is>
      </c>
      <c r="C67" s="5" t="inlineStr">
        <is>
          <t>ARR_MET</t>
        </is>
      </c>
      <c r="D67" s="5" t="n">
        <v>6</v>
      </c>
      <c r="E67" s="5" t="inlineStr">
        <is>
          <t>Melhoria Contínua</t>
        </is>
      </c>
      <c r="F67" s="5" t="inlineStr">
        <is>
          <t>II</t>
        </is>
      </c>
      <c r="G67" s="5" t="inlineStr">
        <is>
          <t>Existência de Agenda de ARR integrada com a Agenda Regulatória.</t>
        </is>
      </c>
      <c r="H67" s="6" t="n"/>
      <c r="I67" s="6" t="n"/>
      <c r="J67" s="6" t="n"/>
      <c r="K67" s="6" t="inlineStr">
        <is>
          <t>pendente</t>
        </is>
      </c>
      <c r="L67" s="6" t="n"/>
      <c r="M67" s="5">
        <f>IF(H67="SIM",1,0)</f>
        <v/>
      </c>
      <c r="N67" s="5">
        <f>IF(AND(H67="SIM",K67="validado",I67&lt;&gt;""),1,0)</f>
        <v/>
      </c>
    </row>
    <row r="68">
      <c r="A68" s="5" t="inlineStr">
        <is>
          <t>ANATEL</t>
        </is>
      </c>
      <c r="B68" s="5" t="inlineStr">
        <is>
          <t>ARR_MET.GER.II</t>
        </is>
      </c>
      <c r="C68" s="5" t="inlineStr">
        <is>
          <t>ARR_MET</t>
        </is>
      </c>
      <c r="D68" s="5" t="n">
        <v>6</v>
      </c>
      <c r="E68" s="5" t="inlineStr">
        <is>
          <t>Gerenciado</t>
        </is>
      </c>
      <c r="F68" s="5" t="inlineStr">
        <is>
          <t>II</t>
        </is>
      </c>
      <c r="G68" s="5" t="inlineStr">
        <is>
          <t>Metodologia de elaboração da Agenda de ARR contempla participação social.</t>
        </is>
      </c>
      <c r="H68" s="6" t="n"/>
      <c r="I68" s="6" t="n"/>
      <c r="J68" s="6" t="n"/>
      <c r="K68" s="6" t="inlineStr">
        <is>
          <t>pendente</t>
        </is>
      </c>
      <c r="L68" s="6" t="n"/>
      <c r="M68" s="5">
        <f>IF(H68="SIM",1,0)</f>
        <v/>
      </c>
      <c r="N68" s="5">
        <f>IF(AND(H68="SIM",K68="validado",I68&lt;&gt;""),1,0)</f>
        <v/>
      </c>
    </row>
    <row r="69">
      <c r="A69" s="5" t="inlineStr">
        <is>
          <t>ANATEL</t>
        </is>
      </c>
      <c r="B69" s="5" t="inlineStr">
        <is>
          <t>ARR_PRO.MC.I</t>
        </is>
      </c>
      <c r="C69" s="5" t="inlineStr">
        <is>
          <t>ARR_PRO</t>
        </is>
      </c>
      <c r="D69" s="5" t="n">
        <v>6</v>
      </c>
      <c r="E69" s="5" t="inlineStr">
        <is>
          <t>Melhoria Contínua</t>
        </is>
      </c>
      <c r="F69" s="5" t="inlineStr">
        <is>
          <t>I</t>
        </is>
      </c>
      <c r="G69" s="5" t="inlineStr">
        <is>
          <t>Há processo contínuo de avaliação e melhoria do processo de elaboração de ARR;</t>
        </is>
      </c>
      <c r="H69" s="6" t="n"/>
      <c r="I69" s="6" t="n"/>
      <c r="J69" s="6" t="n"/>
      <c r="K69" s="6" t="inlineStr">
        <is>
          <t>pendente</t>
        </is>
      </c>
      <c r="L69" s="6" t="n"/>
      <c r="M69" s="5">
        <f>IF(H69="SIM",1,0)</f>
        <v/>
      </c>
      <c r="N69" s="5">
        <f>IF(AND(H69="SIM",K69="validado",I69&lt;&gt;""),1,0)</f>
        <v/>
      </c>
    </row>
    <row r="70">
      <c r="A70" s="5" t="inlineStr">
        <is>
          <t>ANATEL</t>
        </is>
      </c>
      <c r="B70" s="5" t="inlineStr">
        <is>
          <t>ARR_PRO.GER.I</t>
        </is>
      </c>
      <c r="C70" s="5" t="inlineStr">
        <is>
          <t>ARR_PRO</t>
        </is>
      </c>
      <c r="D70" s="5" t="n">
        <v>6</v>
      </c>
      <c r="E70" s="5" t="inlineStr">
        <is>
          <t>Gerenciado</t>
        </is>
      </c>
      <c r="F70" s="5" t="inlineStr">
        <is>
          <t>I</t>
        </is>
      </c>
      <c r="G70" s="5" t="inlineStr">
        <is>
          <t>ARR é realizada conforme manual ou ato normativo;</t>
        </is>
      </c>
      <c r="H70" s="6" t="n"/>
      <c r="I70" s="6" t="n"/>
      <c r="J70" s="6" t="n"/>
      <c r="K70" s="6" t="inlineStr">
        <is>
          <t>pendente</t>
        </is>
      </c>
      <c r="L70" s="6" t="n"/>
      <c r="M70" s="5">
        <f>IF(H70="SIM",1,0)</f>
        <v/>
      </c>
      <c r="N70" s="5">
        <f>IF(AND(H70="SIM",K70="validado",I70&lt;&gt;""),1,0)</f>
        <v/>
      </c>
    </row>
    <row r="71">
      <c r="A71" s="5" t="inlineStr">
        <is>
          <t>ANATEL</t>
        </is>
      </c>
      <c r="B71" s="5" t="inlineStr">
        <is>
          <t>ARR_PRO.INI.I</t>
        </is>
      </c>
      <c r="C71" s="5" t="inlineStr">
        <is>
          <t>ARR_PRO</t>
        </is>
      </c>
      <c r="D71" s="5" t="n">
        <v>6</v>
      </c>
      <c r="E71" s="5" t="inlineStr">
        <is>
          <t>Inicial</t>
        </is>
      </c>
      <c r="F71" s="5" t="inlineStr">
        <is>
          <t>I</t>
        </is>
      </c>
      <c r="G71" s="5" t="inlineStr">
        <is>
          <t>Todas as ARRs são publicadas e acessíveis ao público na internet;</t>
        </is>
      </c>
      <c r="H71" s="6" t="n"/>
      <c r="I71" s="6" t="n"/>
      <c r="J71" s="6" t="n"/>
      <c r="K71" s="6" t="inlineStr">
        <is>
          <t>pendente</t>
        </is>
      </c>
      <c r="L71" s="6" t="n"/>
      <c r="M71" s="5">
        <f>IF(H71="SIM",1,0)</f>
        <v/>
      </c>
      <c r="N71" s="5">
        <f>IF(AND(H71="SIM",K71="validado",I71&lt;&gt;""),1,0)</f>
        <v/>
      </c>
    </row>
    <row r="72">
      <c r="A72" s="5" t="inlineStr">
        <is>
          <t>ANATEL</t>
        </is>
      </c>
      <c r="B72" s="5" t="inlineStr">
        <is>
          <t>ARR_PRO.MC.II</t>
        </is>
      </c>
      <c r="C72" s="5" t="inlineStr">
        <is>
          <t>ARR_PRO</t>
        </is>
      </c>
      <c r="D72" s="5" t="n">
        <v>6</v>
      </c>
      <c r="E72" s="5" t="inlineStr">
        <is>
          <t>Melhoria Contínua</t>
        </is>
      </c>
      <c r="F72" s="5" t="inlineStr">
        <is>
          <t>II</t>
        </is>
      </c>
      <c r="G72" s="5" t="inlineStr">
        <is>
          <t>A execução da Agenda de ARR é periodicamente monitorada e divulgada.</t>
        </is>
      </c>
      <c r="H72" s="6" t="n"/>
      <c r="I72" s="6" t="n"/>
      <c r="J72" s="6" t="n"/>
      <c r="K72" s="6" t="inlineStr">
        <is>
          <t>pendente</t>
        </is>
      </c>
      <c r="L72" s="6" t="n"/>
      <c r="M72" s="5">
        <f>IF(H72="SIM",1,0)</f>
        <v/>
      </c>
      <c r="N72" s="5">
        <f>IF(AND(H72="SIM",K72="validado",I72&lt;&gt;""),1,0)</f>
        <v/>
      </c>
    </row>
    <row r="73">
      <c r="A73" s="5" t="inlineStr">
        <is>
          <t>ANATEL</t>
        </is>
      </c>
      <c r="B73" s="5" t="inlineStr">
        <is>
          <t>ARR_PRO.GER.II</t>
        </is>
      </c>
      <c r="C73" s="5" t="inlineStr">
        <is>
          <t>ARR_PRO</t>
        </is>
      </c>
      <c r="D73" s="5" t="n">
        <v>6</v>
      </c>
      <c r="E73" s="5" t="inlineStr">
        <is>
          <t>Gerenciado</t>
        </is>
      </c>
      <c r="F73" s="5" t="inlineStr">
        <is>
          <t>II</t>
        </is>
      </c>
      <c r="G73" s="5" t="inlineStr">
        <is>
          <t>ARRs de alto impacto/alta complexidade foram submetidas à participação social.</t>
        </is>
      </c>
      <c r="H73" s="6" t="n"/>
      <c r="I73" s="6" t="n"/>
      <c r="J73" s="6" t="n"/>
      <c r="K73" s="6" t="inlineStr">
        <is>
          <t>pendente</t>
        </is>
      </c>
      <c r="L73" s="6" t="n"/>
      <c r="M73" s="5">
        <f>IF(H73="SIM",1,0)</f>
        <v/>
      </c>
      <c r="N73" s="5">
        <f>IF(AND(H73="SIM",K73="validado",I73&lt;&gt;""),1,0)</f>
        <v/>
      </c>
    </row>
    <row r="74">
      <c r="A74" s="5" t="inlineStr">
        <is>
          <t>ANATEL</t>
        </is>
      </c>
      <c r="B74" s="5" t="inlineStr">
        <is>
          <t>ARR_PRO.INI.II</t>
        </is>
      </c>
      <c r="C74" s="5" t="inlineStr">
        <is>
          <t>ARR_PRO</t>
        </is>
      </c>
      <c r="D74" s="5" t="n">
        <v>6</v>
      </c>
      <c r="E74" s="5" t="inlineStr">
        <is>
          <t>Inicial</t>
        </is>
      </c>
      <c r="F74" s="5" t="inlineStr">
        <is>
          <t>II</t>
        </is>
      </c>
      <c r="G74" s="5" t="inlineStr">
        <is>
          <t>A agenda de ARR está publicada no site do órgão.</t>
        </is>
      </c>
      <c r="H74" s="6" t="n"/>
      <c r="I74" s="6" t="n"/>
      <c r="J74" s="6" t="n"/>
      <c r="K74" s="6" t="inlineStr">
        <is>
          <t>pendente</t>
        </is>
      </c>
      <c r="L74" s="6" t="n"/>
      <c r="M74" s="5">
        <f>IF(H74="SIM",1,0)</f>
        <v/>
      </c>
      <c r="N74" s="5">
        <f>IF(AND(H74="SIM",K74="validado",I74&lt;&gt;""),1,0)</f>
        <v/>
      </c>
    </row>
    <row r="75">
      <c r="A75" s="5" t="inlineStr">
        <is>
          <t>ANVISA</t>
        </is>
      </c>
      <c r="B75" s="5" t="inlineStr">
        <is>
          <t>AIR_CAP.MC.I</t>
        </is>
      </c>
      <c r="C75" s="5" t="inlineStr">
        <is>
          <t>AIR_CAP</t>
        </is>
      </c>
      <c r="D75" s="5" t="n">
        <v>1</v>
      </c>
      <c r="E75" s="5" t="inlineStr">
        <is>
          <t>Melhoria Contínua</t>
        </is>
      </c>
      <c r="F75" s="5" t="inlineStr">
        <is>
          <t>I</t>
        </is>
      </c>
      <c r="G75" s="5" t="inlineStr">
        <is>
          <t>Plano de capacitação formalizado e em execução, incluindo permanente reciclagem em técnicas de AIR;</t>
        </is>
      </c>
      <c r="H75" s="6" t="n"/>
      <c r="I75" s="6" t="n"/>
      <c r="J75" s="6" t="n"/>
      <c r="K75" s="6" t="inlineStr">
        <is>
          <t>pendente</t>
        </is>
      </c>
      <c r="L75" s="6" t="n"/>
      <c r="M75" s="5">
        <f>IF(H75="SIM",1,0)</f>
        <v/>
      </c>
      <c r="N75" s="5">
        <f>IF(AND(H75="SIM",K75="validado",I75&lt;&gt;""),1,0)</f>
        <v/>
      </c>
    </row>
    <row r="76">
      <c r="A76" s="5" t="inlineStr">
        <is>
          <t>ANVISA</t>
        </is>
      </c>
      <c r="B76" s="5" t="inlineStr">
        <is>
          <t>AIR_CAP.GER.I</t>
        </is>
      </c>
      <c r="C76" s="5" t="inlineStr">
        <is>
          <t>AIR_CAP</t>
        </is>
      </c>
      <c r="D76" s="5" t="n">
        <v>1</v>
      </c>
      <c r="E76" s="5" t="inlineStr">
        <is>
          <t>Gerenciado</t>
        </is>
      </c>
      <c r="F76" s="5" t="inlineStr">
        <is>
          <t>I</t>
        </is>
      </c>
      <c r="G76" s="5" t="inlineStr">
        <is>
          <t>Capacitações em AIR estão institucionalizadas, sem um plano formalizado;</t>
        </is>
      </c>
      <c r="H76" s="6" t="n"/>
      <c r="I76" s="6" t="n"/>
      <c r="J76" s="6" t="n"/>
      <c r="K76" s="6" t="inlineStr">
        <is>
          <t>pendente</t>
        </is>
      </c>
      <c r="L76" s="6" t="n"/>
      <c r="M76" s="5">
        <f>IF(H76="SIM",1,0)</f>
        <v/>
      </c>
      <c r="N76" s="5">
        <f>IF(AND(H76="SIM",K76="validado",I76&lt;&gt;""),1,0)</f>
        <v/>
      </c>
    </row>
    <row r="77">
      <c r="A77" s="5" t="inlineStr">
        <is>
          <t>ANVISA</t>
        </is>
      </c>
      <c r="B77" s="5" t="inlineStr">
        <is>
          <t>AIR_CAP.INI.I</t>
        </is>
      </c>
      <c r="C77" s="5" t="inlineStr">
        <is>
          <t>AIR_CAP</t>
        </is>
      </c>
      <c r="D77" s="5" t="n">
        <v>1</v>
      </c>
      <c r="E77" s="5" t="inlineStr">
        <is>
          <t>Inicial</t>
        </is>
      </c>
      <c r="F77" s="5" t="inlineStr">
        <is>
          <t>I</t>
        </is>
      </c>
      <c r="G77" s="5" t="inlineStr">
        <is>
          <t>Capacitações em AIR não estão institucionalizadas;</t>
        </is>
      </c>
      <c r="H77" s="6" t="n"/>
      <c r="I77" s="6" t="n"/>
      <c r="J77" s="6" t="n"/>
      <c r="K77" s="6" t="inlineStr">
        <is>
          <t>pendente</t>
        </is>
      </c>
      <c r="L77" s="6" t="n"/>
      <c r="M77" s="5">
        <f>IF(H77="SIM",1,0)</f>
        <v/>
      </c>
      <c r="N77" s="5">
        <f>IF(AND(H77="SIM",K77="validado",I77&lt;&gt;""),1,0)</f>
        <v/>
      </c>
    </row>
    <row r="78">
      <c r="A78" s="5" t="inlineStr">
        <is>
          <t>ANVISA</t>
        </is>
      </c>
      <c r="B78" s="5" t="inlineStr">
        <is>
          <t>AIR_CAP.MC.II</t>
        </is>
      </c>
      <c r="C78" s="5" t="inlineStr">
        <is>
          <t>AIR_CAP</t>
        </is>
      </c>
      <c r="D78" s="5" t="n">
        <v>1</v>
      </c>
      <c r="E78" s="5" t="inlineStr">
        <is>
          <t>Melhoria Contínua</t>
        </is>
      </c>
      <c r="F78" s="5" t="inlineStr">
        <is>
          <t>II</t>
        </is>
      </c>
      <c r="G78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8" s="6" t="n"/>
      <c r="I78" s="6" t="n"/>
      <c r="J78" s="6" t="n"/>
      <c r="K78" s="6" t="inlineStr">
        <is>
          <t>pendente</t>
        </is>
      </c>
      <c r="L78" s="6" t="n"/>
      <c r="M78" s="5">
        <f>IF(H78="SIM",1,0)</f>
        <v/>
      </c>
      <c r="N78" s="5">
        <f>IF(AND(H78="SIM",K78="validado",I78&lt;&gt;""),1,0)</f>
        <v/>
      </c>
    </row>
    <row r="79">
      <c r="A79" s="5" t="inlineStr">
        <is>
          <t>ANVISA</t>
        </is>
      </c>
      <c r="B79" s="5" t="inlineStr">
        <is>
          <t>AIR_CAP.GER.II</t>
        </is>
      </c>
      <c r="C79" s="5" t="inlineStr">
        <is>
          <t>AIR_CAP</t>
        </is>
      </c>
      <c r="D79" s="5" t="n">
        <v>1</v>
      </c>
      <c r="E79" s="5" t="inlineStr">
        <is>
          <t>Gerenciado</t>
        </is>
      </c>
      <c r="F79" s="5" t="inlineStr">
        <is>
          <t>II</t>
        </is>
      </c>
      <c r="G79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79" s="6" t="n"/>
      <c r="I79" s="6" t="n"/>
      <c r="J79" s="6" t="n"/>
      <c r="K79" s="6" t="inlineStr">
        <is>
          <t>pendente</t>
        </is>
      </c>
      <c r="L79" s="6" t="n"/>
      <c r="M79" s="5">
        <f>IF(H79="SIM",1,0)</f>
        <v/>
      </c>
      <c r="N79" s="5">
        <f>IF(AND(H79="SIM",K79="validado",I79&lt;&gt;""),1,0)</f>
        <v/>
      </c>
    </row>
    <row r="80">
      <c r="A80" s="5" t="inlineStr">
        <is>
          <t>ANVISA</t>
        </is>
      </c>
      <c r="B80" s="5" t="inlineStr">
        <is>
          <t>AIR_CAP.INI.II</t>
        </is>
      </c>
      <c r="C80" s="5" t="inlineStr">
        <is>
          <t>AIR_CAP</t>
        </is>
      </c>
      <c r="D80" s="5" t="n">
        <v>1</v>
      </c>
      <c r="E80" s="5" t="inlineStr">
        <is>
          <t>Inicial</t>
        </is>
      </c>
      <c r="F80" s="5" t="inlineStr">
        <is>
          <t>II</t>
        </is>
      </c>
      <c r="G80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80" s="6" t="n"/>
      <c r="I80" s="6" t="n"/>
      <c r="J80" s="6" t="n"/>
      <c r="K80" s="6" t="inlineStr">
        <is>
          <t>pendente</t>
        </is>
      </c>
      <c r="L80" s="6" t="n"/>
      <c r="M80" s="5">
        <f>IF(H80="SIM",1,0)</f>
        <v/>
      </c>
      <c r="N80" s="5">
        <f>IF(AND(H80="SIM",K80="validado",I80&lt;&gt;""),1,0)</f>
        <v/>
      </c>
    </row>
    <row r="81">
      <c r="A81" s="5" t="inlineStr">
        <is>
          <t>ANVISA</t>
        </is>
      </c>
      <c r="B81" s="5" t="inlineStr">
        <is>
          <t>AIR_CAP.MC.III</t>
        </is>
      </c>
      <c r="C81" s="5" t="inlineStr">
        <is>
          <t>AIR_CAP</t>
        </is>
      </c>
      <c r="D81" s="5" t="n">
        <v>1</v>
      </c>
      <c r="E81" s="5" t="inlineStr">
        <is>
          <t>Melhoria Contínua</t>
        </is>
      </c>
      <c r="F81" s="5" t="inlineStr">
        <is>
          <t>III</t>
        </is>
      </c>
      <c r="G81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" s="6" t="n"/>
      <c r="I81" s="6" t="n"/>
      <c r="J81" s="6" t="n"/>
      <c r="K81" s="6" t="inlineStr">
        <is>
          <t>pendente</t>
        </is>
      </c>
      <c r="L81" s="6" t="n"/>
      <c r="M81" s="5">
        <f>IF(H81="SIM",1,0)</f>
        <v/>
      </c>
      <c r="N81" s="5">
        <f>IF(AND(H81="SIM",K81="validado",I81&lt;&gt;""),1,0)</f>
        <v/>
      </c>
    </row>
    <row r="82">
      <c r="A82" s="5" t="inlineStr">
        <is>
          <t>ANVISA</t>
        </is>
      </c>
      <c r="B82" s="5" t="inlineStr">
        <is>
          <t>AIR_CAP.GER.III</t>
        </is>
      </c>
      <c r="C82" s="5" t="inlineStr">
        <is>
          <t>AIR_CAP</t>
        </is>
      </c>
      <c r="D82" s="5" t="n">
        <v>1</v>
      </c>
      <c r="E82" s="5" t="inlineStr">
        <is>
          <t>Gerenciado</t>
        </is>
      </c>
      <c r="F82" s="5" t="inlineStr">
        <is>
          <t>III</t>
        </is>
      </c>
      <c r="G82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2" s="6" t="n"/>
      <c r="I82" s="6" t="n"/>
      <c r="J82" s="6" t="n"/>
      <c r="K82" s="6" t="inlineStr">
        <is>
          <t>pendente</t>
        </is>
      </c>
      <c r="L82" s="6" t="n"/>
      <c r="M82" s="5">
        <f>IF(H82="SIM",1,0)</f>
        <v/>
      </c>
      <c r="N82" s="5">
        <f>IF(AND(H82="SIM",K82="validado",I82&lt;&gt;""),1,0)</f>
        <v/>
      </c>
    </row>
    <row r="83">
      <c r="A83" s="5" t="inlineStr">
        <is>
          <t>ANVISA</t>
        </is>
      </c>
      <c r="B83" s="5" t="inlineStr">
        <is>
          <t>AIR_CAP.INI.III</t>
        </is>
      </c>
      <c r="C83" s="5" t="inlineStr">
        <is>
          <t>AIR_CAP</t>
        </is>
      </c>
      <c r="D83" s="5" t="n">
        <v>1</v>
      </c>
      <c r="E83" s="5" t="inlineStr">
        <is>
          <t>Inicial</t>
        </is>
      </c>
      <c r="F83" s="5" t="inlineStr">
        <is>
          <t>III</t>
        </is>
      </c>
      <c r="G83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83" s="6" t="n"/>
      <c r="I83" s="6" t="n"/>
      <c r="J83" s="6" t="n"/>
      <c r="K83" s="6" t="inlineStr">
        <is>
          <t>pendente</t>
        </is>
      </c>
      <c r="L83" s="6" t="n"/>
      <c r="M83" s="5">
        <f>IF(H83="SIM",1,0)</f>
        <v/>
      </c>
      <c r="N83" s="5">
        <f>IF(AND(H83="SIM",K83="validado",I83&lt;&gt;""),1,0)</f>
        <v/>
      </c>
    </row>
    <row r="84">
      <c r="A84" s="5" t="inlineStr">
        <is>
          <t>ANVISA</t>
        </is>
      </c>
      <c r="B84" s="5" t="inlineStr">
        <is>
          <t>AIR_CAP.GER.IV</t>
        </is>
      </c>
      <c r="C84" s="5" t="inlineStr">
        <is>
          <t>AIR_CAP</t>
        </is>
      </c>
      <c r="D84" s="5" t="n">
        <v>1</v>
      </c>
      <c r="E84" s="5" t="inlineStr">
        <is>
          <t>Gerenciado</t>
        </is>
      </c>
      <c r="F84" s="5" t="inlineStr">
        <is>
          <t>IV</t>
        </is>
      </c>
      <c r="G84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4" s="6" t="n"/>
      <c r="I84" s="6" t="n"/>
      <c r="J84" s="6" t="n"/>
      <c r="K84" s="6" t="inlineStr">
        <is>
          <t>pendente</t>
        </is>
      </c>
      <c r="L84" s="6" t="n"/>
      <c r="M84" s="5">
        <f>IF(H84="SIM",1,0)</f>
        <v/>
      </c>
      <c r="N84" s="5">
        <f>IF(AND(H84="SIM",K84="validado",I84&lt;&gt;""),1,0)</f>
        <v/>
      </c>
    </row>
    <row r="85">
      <c r="A85" s="5" t="inlineStr">
        <is>
          <t>ANVISA</t>
        </is>
      </c>
      <c r="B85" s="5" t="inlineStr">
        <is>
          <t>AIR_MET.MC.I</t>
        </is>
      </c>
      <c r="C85" s="5" t="inlineStr">
        <is>
          <t>AIR_MET</t>
        </is>
      </c>
      <c r="D85" s="5" t="n">
        <v>1</v>
      </c>
      <c r="E85" s="5" t="inlineStr">
        <is>
          <t>Melhoria Contínua</t>
        </is>
      </c>
      <c r="F85" s="5" t="inlineStr">
        <is>
          <t>I</t>
        </is>
      </c>
      <c r="G85" s="5" t="inlineStr">
        <is>
          <t>Critérios objetivos estabelecidos para classificação quanto ao nível de impacto e complexidade da AIR;</t>
        </is>
      </c>
      <c r="H85" s="6" t="n"/>
      <c r="I85" s="6" t="n"/>
      <c r="J85" s="6" t="n"/>
      <c r="K85" s="6" t="inlineStr">
        <is>
          <t>pendente</t>
        </is>
      </c>
      <c r="L85" s="6" t="n"/>
      <c r="M85" s="5">
        <f>IF(H85="SIM",1,0)</f>
        <v/>
      </c>
      <c r="N85" s="5">
        <f>IF(AND(H85="SIM",K85="validado",I85&lt;&gt;""),1,0)</f>
        <v/>
      </c>
    </row>
    <row r="86">
      <c r="A86" s="5" t="inlineStr">
        <is>
          <t>ANVISA</t>
        </is>
      </c>
      <c r="B86" s="5" t="inlineStr">
        <is>
          <t>AIR_MET.GER.I</t>
        </is>
      </c>
      <c r="C86" s="5" t="inlineStr">
        <is>
          <t>AIR_MET</t>
        </is>
      </c>
      <c r="D86" s="5" t="n">
        <v>1</v>
      </c>
      <c r="E86" s="5" t="inlineStr">
        <is>
          <t>Gerenciado</t>
        </is>
      </c>
      <c r="F86" s="5" t="inlineStr">
        <is>
          <t>I</t>
        </is>
      </c>
      <c r="G86" s="5" t="inlineStr">
        <is>
          <t>Existência de manual ou ato normativo interno instituindo a aplicabilidade institucional da AIR;</t>
        </is>
      </c>
      <c r="H86" s="6" t="n"/>
      <c r="I86" s="6" t="n"/>
      <c r="J86" s="6" t="n"/>
      <c r="K86" s="6" t="inlineStr">
        <is>
          <t>pendente</t>
        </is>
      </c>
      <c r="L86" s="6" t="n"/>
      <c r="M86" s="5">
        <f>IF(H86="SIM",1,0)</f>
        <v/>
      </c>
      <c r="N86" s="5">
        <f>IF(AND(H86="SIM",K86="validado",I86&lt;&gt;""),1,0)</f>
        <v/>
      </c>
    </row>
    <row r="87">
      <c r="A87" s="5" t="inlineStr">
        <is>
          <t>ANVISA</t>
        </is>
      </c>
      <c r="B87" s="5" t="inlineStr">
        <is>
          <t>AIR_MET.INI.I</t>
        </is>
      </c>
      <c r="C87" s="5" t="inlineStr">
        <is>
          <t>AIR_MET</t>
        </is>
      </c>
      <c r="D87" s="5" t="n">
        <v>1</v>
      </c>
      <c r="E87" s="5" t="inlineStr">
        <is>
          <t>Inicial</t>
        </is>
      </c>
      <c r="F87" s="5" t="inlineStr">
        <is>
          <t>I</t>
        </is>
      </c>
      <c r="G87" s="5" t="inlineStr">
        <is>
          <t>houve a publicação de normativo interno dispondo sobre a aplicação da AIR na instituição, conforme Decreto nº 10.411, de 2020.</t>
        </is>
      </c>
      <c r="H87" s="6" t="n"/>
      <c r="I87" s="6" t="n"/>
      <c r="J87" s="6" t="n"/>
      <c r="K87" s="6" t="inlineStr">
        <is>
          <t>pendente</t>
        </is>
      </c>
      <c r="L87" s="6" t="n"/>
      <c r="M87" s="5">
        <f>IF(H87="SIM",1,0)</f>
        <v/>
      </c>
      <c r="N87" s="5">
        <f>IF(AND(H87="SIM",K87="validado",I87&lt;&gt;""),1,0)</f>
        <v/>
      </c>
    </row>
    <row r="88">
      <c r="A88" s="5" t="inlineStr">
        <is>
          <t>ANVISA</t>
        </is>
      </c>
      <c r="B88" s="5" t="inlineStr">
        <is>
          <t>AIR_MET.MC.II</t>
        </is>
      </c>
      <c r="C88" s="5" t="inlineStr">
        <is>
          <t>AIR_MET</t>
        </is>
      </c>
      <c r="D88" s="5" t="n">
        <v>1</v>
      </c>
      <c r="E88" s="5" t="inlineStr">
        <is>
          <t>Melhoria Contínua</t>
        </is>
      </c>
      <c r="F88" s="5" t="inlineStr">
        <is>
          <t>II</t>
        </is>
      </c>
      <c r="G88" s="5" t="inlineStr">
        <is>
          <t>Metodologia contempla participação social prévia e posterior à elaboração da AIR, conforme complexidade do ato.</t>
        </is>
      </c>
      <c r="H88" s="6" t="n"/>
      <c r="I88" s="6" t="n"/>
      <c r="J88" s="6" t="n"/>
      <c r="K88" s="6" t="inlineStr">
        <is>
          <t>pendente</t>
        </is>
      </c>
      <c r="L88" s="6" t="n"/>
      <c r="M88" s="5">
        <f>IF(H88="SIM",1,0)</f>
        <v/>
      </c>
      <c r="N88" s="5">
        <f>IF(AND(H88="SIM",K88="validado",I88&lt;&gt;""),1,0)</f>
        <v/>
      </c>
    </row>
    <row r="89">
      <c r="A89" s="5" t="inlineStr">
        <is>
          <t>ANVISA</t>
        </is>
      </c>
      <c r="B89" s="5" t="inlineStr">
        <is>
          <t>AIR_MET.GER.II</t>
        </is>
      </c>
      <c r="C89" s="5" t="inlineStr">
        <is>
          <t>AIR_MET</t>
        </is>
      </c>
      <c r="D89" s="5" t="n">
        <v>1</v>
      </c>
      <c r="E89" s="5" t="inlineStr">
        <is>
          <t>Gerenciado</t>
        </is>
      </c>
      <c r="F89" s="5" t="inlineStr">
        <is>
          <t>II</t>
        </is>
      </c>
      <c r="G89" s="5" t="inlineStr">
        <is>
          <t>Existência de manual ou ato normativo dispondo sobre a participação social posterior relativa à AIR.</t>
        </is>
      </c>
      <c r="H89" s="6" t="n"/>
      <c r="I89" s="6" t="n"/>
      <c r="J89" s="6" t="n"/>
      <c r="K89" s="6" t="inlineStr">
        <is>
          <t>pendente</t>
        </is>
      </c>
      <c r="L89" s="6" t="n"/>
      <c r="M89" s="5">
        <f>IF(H89="SIM",1,0)</f>
        <v/>
      </c>
      <c r="N89" s="5">
        <f>IF(AND(H89="SIM",K89="validado",I89&lt;&gt;""),1,0)</f>
        <v/>
      </c>
    </row>
    <row r="90">
      <c r="A90" s="5" t="inlineStr">
        <is>
          <t>ANVISA</t>
        </is>
      </c>
      <c r="B90" s="5" t="inlineStr">
        <is>
          <t>AIR_PRO.MC.I</t>
        </is>
      </c>
      <c r="C90" s="5" t="inlineStr">
        <is>
          <t>AIR_PRO</t>
        </is>
      </c>
      <c r="D90" s="5" t="n">
        <v>1</v>
      </c>
      <c r="E90" s="5" t="inlineStr">
        <is>
          <t>Melhoria Contínua</t>
        </is>
      </c>
      <c r="F90" s="5" t="inlineStr">
        <is>
          <t>I</t>
        </is>
      </c>
      <c r="G90" s="5" t="inlineStr">
        <is>
          <t>Há processo contínuo de avaliação e melhoria do processo de elaboração de AIR;</t>
        </is>
      </c>
      <c r="H90" s="6" t="n"/>
      <c r="I90" s="6" t="n"/>
      <c r="J90" s="6" t="n"/>
      <c r="K90" s="6" t="inlineStr">
        <is>
          <t>pendente</t>
        </is>
      </c>
      <c r="L90" s="6" t="n"/>
      <c r="M90" s="5">
        <f>IF(H90="SIM",1,0)</f>
        <v/>
      </c>
      <c r="N90" s="5">
        <f>IF(AND(H90="SIM",K90="validado",I90&lt;&gt;""),1,0)</f>
        <v/>
      </c>
    </row>
    <row r="91">
      <c r="A91" s="5" t="inlineStr">
        <is>
          <t>ANVISA</t>
        </is>
      </c>
      <c r="B91" s="5" t="inlineStr">
        <is>
          <t>AIR_PRO.GER.I</t>
        </is>
      </c>
      <c r="C91" s="5" t="inlineStr">
        <is>
          <t>AIR_PRO</t>
        </is>
      </c>
      <c r="D91" s="5" t="n">
        <v>1</v>
      </c>
      <c r="E91" s="5" t="inlineStr">
        <is>
          <t>Gerenciado</t>
        </is>
      </c>
      <c r="F91" s="5" t="inlineStr">
        <is>
          <t>I</t>
        </is>
      </c>
      <c r="G91" s="5" t="inlineStr">
        <is>
          <t>Todas as AIRs são sempre realizadas conforme manual ou ato normativo interno e publicadas e acessíveis ao público na internet;</t>
        </is>
      </c>
      <c r="H91" s="6" t="n"/>
      <c r="I91" s="6" t="n"/>
      <c r="J91" s="6" t="n"/>
      <c r="K91" s="6" t="inlineStr">
        <is>
          <t>pendente</t>
        </is>
      </c>
      <c r="L91" s="6" t="n"/>
      <c r="M91" s="5">
        <f>IF(H91="SIM",1,0)</f>
        <v/>
      </c>
      <c r="N91" s="5">
        <f>IF(AND(H91="SIM",K91="validado",I91&lt;&gt;""),1,0)</f>
        <v/>
      </c>
    </row>
    <row r="92">
      <c r="A92" s="5" t="inlineStr">
        <is>
          <t>ANVISA</t>
        </is>
      </c>
      <c r="B92" s="5" t="inlineStr">
        <is>
          <t>AIR_PRO.INI.I</t>
        </is>
      </c>
      <c r="C92" s="5" t="inlineStr">
        <is>
          <t>AIR_PRO</t>
        </is>
      </c>
      <c r="D92" s="5" t="n">
        <v>1</v>
      </c>
      <c r="E92" s="5" t="inlineStr">
        <is>
          <t>Inicial</t>
        </is>
      </c>
      <c r="F92" s="5" t="inlineStr">
        <is>
          <t>I</t>
        </is>
      </c>
      <c r="G92" s="5" t="inlineStr">
        <is>
          <t>AIR é sempre realizada e a dispensa justificada, conforme critérios objetivos estabelecidos, conforme Decreto nº 10.411, de 2020;</t>
        </is>
      </c>
      <c r="H92" s="6" t="n"/>
      <c r="I92" s="6" t="n"/>
      <c r="J92" s="6" t="n"/>
      <c r="K92" s="6" t="inlineStr">
        <is>
          <t>pendente</t>
        </is>
      </c>
      <c r="L92" s="6" t="n"/>
      <c r="M92" s="5">
        <f>IF(H92="SIM",1,0)</f>
        <v/>
      </c>
      <c r="N92" s="5">
        <f>IF(AND(H92="SIM",K92="validado",I92&lt;&gt;""),1,0)</f>
        <v/>
      </c>
    </row>
    <row r="93">
      <c r="A93" s="5" t="inlineStr">
        <is>
          <t>ANVISA</t>
        </is>
      </c>
      <c r="B93" s="5" t="inlineStr">
        <is>
          <t>AIR_PRO.MC.II</t>
        </is>
      </c>
      <c r="C93" s="5" t="inlineStr">
        <is>
          <t>AIR_PRO</t>
        </is>
      </c>
      <c r="D93" s="5" t="n">
        <v>1</v>
      </c>
      <c r="E93" s="5" t="inlineStr">
        <is>
          <t>Melhoria Contínua</t>
        </is>
      </c>
      <c r="F93" s="5" t="inlineStr">
        <is>
          <t>II</t>
        </is>
      </c>
      <c r="G93" s="5" t="inlineStr">
        <is>
          <t>Existência de instrumento de avaliação de qualidade das AIRs realizadas;</t>
        </is>
      </c>
      <c r="H93" s="6" t="n"/>
      <c r="I93" s="6" t="n"/>
      <c r="J93" s="6" t="n"/>
      <c r="K93" s="6" t="inlineStr">
        <is>
          <t>pendente</t>
        </is>
      </c>
      <c r="L93" s="6" t="n"/>
      <c r="M93" s="5">
        <f>IF(H93="SIM",1,0)</f>
        <v/>
      </c>
      <c r="N93" s="5">
        <f>IF(AND(H93="SIM",K93="validado",I93&lt;&gt;""),1,0)</f>
        <v/>
      </c>
    </row>
    <row r="94">
      <c r="A94" s="5" t="inlineStr">
        <is>
          <t>ANVISA</t>
        </is>
      </c>
      <c r="B94" s="5" t="inlineStr">
        <is>
          <t>AIR_PRO.GER.II</t>
        </is>
      </c>
      <c r="C94" s="5" t="inlineStr">
        <is>
          <t>AIR_PRO</t>
        </is>
      </c>
      <c r="D94" s="5" t="n">
        <v>1</v>
      </c>
      <c r="E94" s="5" t="inlineStr">
        <is>
          <t>Gerenciado</t>
        </is>
      </c>
      <c r="F94" s="5" t="inlineStr">
        <is>
          <t>II</t>
        </is>
      </c>
      <c r="G94" s="5" t="inlineStr">
        <is>
          <t>O processo de elaboração de AIR está mapeado na instituição;</t>
        </is>
      </c>
      <c r="H94" s="6" t="n"/>
      <c r="I94" s="6" t="n"/>
      <c r="J94" s="6" t="n"/>
      <c r="K94" s="6" t="inlineStr">
        <is>
          <t>pendente</t>
        </is>
      </c>
      <c r="L94" s="6" t="n"/>
      <c r="M94" s="5">
        <f>IF(H94="SIM",1,0)</f>
        <v/>
      </c>
      <c r="N94" s="5">
        <f>IF(AND(H94="SIM",K94="validado",I94&lt;&gt;""),1,0)</f>
        <v/>
      </c>
    </row>
    <row r="95">
      <c r="A95" s="5" t="inlineStr">
        <is>
          <t>ANVISA</t>
        </is>
      </c>
      <c r="B95" s="5" t="inlineStr">
        <is>
          <t>AIR_PRO.INI.II</t>
        </is>
      </c>
      <c r="C95" s="5" t="inlineStr">
        <is>
          <t>AIR_PRO</t>
        </is>
      </c>
      <c r="D95" s="5" t="n">
        <v>1</v>
      </c>
      <c r="E95" s="5" t="inlineStr">
        <is>
          <t>Inicial</t>
        </is>
      </c>
      <c r="F95" s="5" t="inlineStr">
        <is>
          <t>II</t>
        </is>
      </c>
      <c r="G95" s="5" t="inlineStr">
        <is>
          <t>Todas as AIRs são publicadas e acessíveis ao público na internet;</t>
        </is>
      </c>
      <c r="H95" s="6" t="n"/>
      <c r="I95" s="6" t="n"/>
      <c r="J95" s="6" t="n"/>
      <c r="K95" s="6" t="inlineStr">
        <is>
          <t>pendente</t>
        </is>
      </c>
      <c r="L95" s="6" t="n"/>
      <c r="M95" s="5">
        <f>IF(H95="SIM",1,0)</f>
        <v/>
      </c>
      <c r="N95" s="5">
        <f>IF(AND(H95="SIM",K95="validado",I95&lt;&gt;""),1,0)</f>
        <v/>
      </c>
    </row>
    <row r="96">
      <c r="A96" s="5" t="inlineStr">
        <is>
          <t>ANVISA</t>
        </is>
      </c>
      <c r="B96" s="5" t="inlineStr">
        <is>
          <t>AIR_PRO.MC.III</t>
        </is>
      </c>
      <c r="C96" s="5" t="inlineStr">
        <is>
          <t>AIR_PRO</t>
        </is>
      </c>
      <c r="D96" s="5" t="n">
        <v>1</v>
      </c>
      <c r="E96" s="5" t="inlineStr">
        <is>
          <t>Melhoria Contínua</t>
        </is>
      </c>
      <c r="F96" s="5" t="inlineStr">
        <is>
          <t>III</t>
        </is>
      </c>
      <c r="G96" s="5" t="inlineStr">
        <is>
          <t>As AIRs de alto impacto/alta complexidade são submetidas à participação social prévia e posterior.</t>
        </is>
      </c>
      <c r="H96" s="6" t="n"/>
      <c r="I96" s="6" t="n"/>
      <c r="J96" s="6" t="n"/>
      <c r="K96" s="6" t="inlineStr">
        <is>
          <t>pendente</t>
        </is>
      </c>
      <c r="L96" s="6" t="n"/>
      <c r="M96" s="5">
        <f>IF(H96="SIM",1,0)</f>
        <v/>
      </c>
      <c r="N96" s="5">
        <f>IF(AND(H96="SIM",K96="validado",I96&lt;&gt;""),1,0)</f>
        <v/>
      </c>
    </row>
    <row r="97">
      <c r="A97" s="5" t="inlineStr">
        <is>
          <t>ANVISA</t>
        </is>
      </c>
      <c r="B97" s="5" t="inlineStr">
        <is>
          <t>AIR_PRO.GER.III</t>
        </is>
      </c>
      <c r="C97" s="5" t="inlineStr">
        <is>
          <t>AIR_PRO</t>
        </is>
      </c>
      <c r="D97" s="5" t="n">
        <v>1</v>
      </c>
      <c r="E97" s="5" t="inlineStr">
        <is>
          <t>Gerenciado</t>
        </is>
      </c>
      <c r="F97" s="5" t="inlineStr">
        <is>
          <t>III</t>
        </is>
      </c>
      <c r="G97" s="5" t="inlineStr">
        <is>
          <t>As AIRs são objeto de participação social posterior, conforme decisão técnica.</t>
        </is>
      </c>
      <c r="H97" s="6" t="n"/>
      <c r="I97" s="6" t="n"/>
      <c r="J97" s="6" t="n"/>
      <c r="K97" s="6" t="inlineStr">
        <is>
          <t>pendente</t>
        </is>
      </c>
      <c r="L97" s="6" t="n"/>
      <c r="M97" s="5">
        <f>IF(H97="SIM",1,0)</f>
        <v/>
      </c>
      <c r="N97" s="5">
        <f>IF(AND(H97="SIM",K97="validado",I97&lt;&gt;""),1,0)</f>
        <v/>
      </c>
    </row>
    <row r="98">
      <c r="A98" s="5" t="inlineStr">
        <is>
          <t>ANVISA</t>
        </is>
      </c>
      <c r="B98" s="5" t="inlineStr">
        <is>
          <t>AIR_PRO.INI.III</t>
        </is>
      </c>
      <c r="C98" s="5" t="inlineStr">
        <is>
          <t>AIR_PRO</t>
        </is>
      </c>
      <c r="D98" s="5" t="n">
        <v>1</v>
      </c>
      <c r="E98" s="5" t="inlineStr">
        <is>
          <t>Inicial</t>
        </is>
      </c>
      <c r="F98" s="5" t="inlineStr">
        <is>
          <t>III</t>
        </is>
      </c>
      <c r="G98" s="5" t="inlineStr">
        <is>
          <t>Participação Social é realizada, conforme Decreto nº 10.411, de 2020.</t>
        </is>
      </c>
      <c r="H98" s="6" t="n"/>
      <c r="I98" s="6" t="n"/>
      <c r="J98" s="6" t="n"/>
      <c r="K98" s="6" t="inlineStr">
        <is>
          <t>pendente</t>
        </is>
      </c>
      <c r="L98" s="6" t="n"/>
      <c r="M98" s="5">
        <f>IF(H98="SIM",1,0)</f>
        <v/>
      </c>
      <c r="N98" s="5">
        <f>IF(AND(H98="SIM",K98="validado",I98&lt;&gt;""),1,0)</f>
        <v/>
      </c>
    </row>
    <row r="99">
      <c r="A99" s="5" t="inlineStr">
        <is>
          <t>ANVISA</t>
        </is>
      </c>
      <c r="B99" s="5" t="inlineStr">
        <is>
          <t>PS.MC.I</t>
        </is>
      </c>
      <c r="C99" s="5" t="inlineStr">
        <is>
          <t>PS</t>
        </is>
      </c>
      <c r="D99" s="5" t="n">
        <v>2</v>
      </c>
      <c r="E99" s="5" t="inlineStr">
        <is>
          <t>Melhoria Contínua</t>
        </is>
      </c>
      <c r="F99" s="5" t="inlineStr">
        <is>
          <t>I</t>
        </is>
      </c>
      <c r="G99" s="5" t="inlineStr">
        <is>
          <t>A instituição realiza eventos de participação social para a construção do conhecimento sobre dada matéria e para o desenvolvimento de propostas;</t>
        </is>
      </c>
      <c r="H99" s="6" t="n"/>
      <c r="I99" s="6" t="n"/>
      <c r="J99" s="6" t="n"/>
      <c r="K99" s="6" t="inlineStr">
        <is>
          <t>pendente</t>
        </is>
      </c>
      <c r="L99" s="6" t="n"/>
      <c r="M99" s="5">
        <f>IF(H99="SIM",1,0)</f>
        <v/>
      </c>
      <c r="N99" s="5">
        <f>IF(AND(H99="SIM",K99="validado",I99&lt;&gt;""),1,0)</f>
        <v/>
      </c>
    </row>
    <row r="100">
      <c r="A100" s="5" t="inlineStr">
        <is>
          <t>ANVISA</t>
        </is>
      </c>
      <c r="B100" s="5" t="inlineStr">
        <is>
          <t>PS.GER.I</t>
        </is>
      </c>
      <c r="C100" s="5" t="inlineStr">
        <is>
          <t>PS</t>
        </is>
      </c>
      <c r="D100" s="5" t="n">
        <v>2</v>
      </c>
      <c r="E100" s="5" t="inlineStr">
        <is>
          <t>Gerenciado</t>
        </is>
      </c>
      <c r="F100" s="5" t="inlineStr">
        <is>
          <t>I</t>
        </is>
      </c>
      <c r="G100" s="5" t="inlineStr">
        <is>
          <t>Existência de manual ou ato normativo interno instituindo metodologia e procedimento de participação social;</t>
        </is>
      </c>
      <c r="H100" s="6" t="n"/>
      <c r="I100" s="6" t="n"/>
      <c r="J100" s="6" t="n"/>
      <c r="K100" s="6" t="inlineStr">
        <is>
          <t>pendente</t>
        </is>
      </c>
      <c r="L100" s="6" t="n"/>
      <c r="M100" s="5">
        <f>IF(H100="SIM",1,0)</f>
        <v/>
      </c>
      <c r="N100" s="5">
        <f>IF(AND(H100="SIM",K100="validado",I100&lt;&gt;""),1,0)</f>
        <v/>
      </c>
    </row>
    <row r="101">
      <c r="A101" s="5" t="inlineStr">
        <is>
          <t>ANVISA</t>
        </is>
      </c>
      <c r="B101" s="5" t="inlineStr">
        <is>
          <t>PS.INI.I</t>
        </is>
      </c>
      <c r="C101" s="5" t="inlineStr">
        <is>
          <t>PS</t>
        </is>
      </c>
      <c r="D101" s="5" t="n">
        <v>2</v>
      </c>
      <c r="E101" s="5" t="inlineStr">
        <is>
          <t>Inicial</t>
        </is>
      </c>
      <c r="F101" s="5" t="inlineStr">
        <is>
          <t>I</t>
        </is>
      </c>
      <c r="G101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101" s="6" t="n"/>
      <c r="I101" s="6" t="n"/>
      <c r="J101" s="6" t="n"/>
      <c r="K101" s="6" t="inlineStr">
        <is>
          <t>pendente</t>
        </is>
      </c>
      <c r="L101" s="6" t="n"/>
      <c r="M101" s="5">
        <f>IF(H101="SIM",1,0)</f>
        <v/>
      </c>
      <c r="N101" s="5">
        <f>IF(AND(H101="SIM",K101="validado",I101&lt;&gt;""),1,0)</f>
        <v/>
      </c>
    </row>
    <row r="102">
      <c r="A102" s="5" t="inlineStr">
        <is>
          <t>ANVISA</t>
        </is>
      </c>
      <c r="B102" s="5" t="inlineStr">
        <is>
          <t>PS.MC.II</t>
        </is>
      </c>
      <c r="C102" s="5" t="inlineStr">
        <is>
          <t>PS</t>
        </is>
      </c>
      <c r="D102" s="5" t="n">
        <v>2</v>
      </c>
      <c r="E102" s="5" t="inlineStr">
        <is>
          <t>Melhoria Contínua</t>
        </is>
      </c>
      <c r="F102" s="5" t="inlineStr">
        <is>
          <t>II</t>
        </is>
      </c>
      <c r="G102" s="5" t="inlineStr">
        <is>
          <t>Relatórios da Ouvidoria, relatórios do portal consumidor.gov, pesquisas de satisfação e dados de atendimento são utilizados para subsidiar as decisões regulatórias;</t>
        </is>
      </c>
      <c r="H102" s="6" t="n"/>
      <c r="I102" s="6" t="n"/>
      <c r="J102" s="6" t="n"/>
      <c r="K102" s="6" t="inlineStr">
        <is>
          <t>pendente</t>
        </is>
      </c>
      <c r="L102" s="6" t="n"/>
      <c r="M102" s="5">
        <f>IF(H102="SIM",1,0)</f>
        <v/>
      </c>
      <c r="N102" s="5">
        <f>IF(AND(H102="SIM",K102="validado",I102&lt;&gt;""),1,0)</f>
        <v/>
      </c>
    </row>
    <row r="103">
      <c r="A103" s="5" t="inlineStr">
        <is>
          <t>ANVISA</t>
        </is>
      </c>
      <c r="B103" s="5" t="inlineStr">
        <is>
          <t>PS.GER.II</t>
        </is>
      </c>
      <c r="C103" s="5" t="inlineStr">
        <is>
          <t>PS</t>
        </is>
      </c>
      <c r="D103" s="5" t="n">
        <v>2</v>
      </c>
      <c r="E103" s="5" t="inlineStr">
        <is>
          <t>Gerenciado</t>
        </is>
      </c>
      <c r="F103" s="5" t="inlineStr">
        <is>
          <t>II</t>
        </is>
      </c>
      <c r="G103" s="5" t="inlineStr">
        <is>
          <t>Os relatórios da Ouvidoria e os relatórios do portal consumidor.gov são utilizados para subsidiar as decisões regulatórias;</t>
        </is>
      </c>
      <c r="H103" s="6" t="n"/>
      <c r="I103" s="6" t="n"/>
      <c r="J103" s="6" t="n"/>
      <c r="K103" s="6" t="inlineStr">
        <is>
          <t>pendente</t>
        </is>
      </c>
      <c r="L103" s="6" t="n"/>
      <c r="M103" s="5">
        <f>IF(H103="SIM",1,0)</f>
        <v/>
      </c>
      <c r="N103" s="5">
        <f>IF(AND(H103="SIM",K103="validado",I103&lt;&gt;""),1,0)</f>
        <v/>
      </c>
    </row>
    <row r="104">
      <c r="A104" s="5" t="inlineStr">
        <is>
          <t>ANVISA</t>
        </is>
      </c>
      <c r="B104" s="5" t="inlineStr">
        <is>
          <t>PS.MC.III</t>
        </is>
      </c>
      <c r="C104" s="5" t="inlineStr">
        <is>
          <t>PS</t>
        </is>
      </c>
      <c r="D104" s="5" t="n">
        <v>2</v>
      </c>
      <c r="E104" s="5" t="inlineStr">
        <is>
          <t>Melhoria Contínua</t>
        </is>
      </c>
      <c r="F104" s="5" t="inlineStr">
        <is>
          <t>III</t>
        </is>
      </c>
      <c r="G104" s="5" t="inlineStr">
        <is>
          <t>Todos os instrumentos, processos e relatórios contendo as contribuições analisadas são divulgados no portal do órgão e/ou plataforma Participa Mais Brasil;</t>
        </is>
      </c>
      <c r="H104" s="6" t="n"/>
      <c r="I104" s="6" t="n"/>
      <c r="J104" s="6" t="n"/>
      <c r="K104" s="6" t="inlineStr">
        <is>
          <t>pendente</t>
        </is>
      </c>
      <c r="L104" s="6" t="n"/>
      <c r="M104" s="5">
        <f>IF(H104="SIM",1,0)</f>
        <v/>
      </c>
      <c r="N104" s="5">
        <f>IF(AND(H104="SIM",K104="validado",I104&lt;&gt;""),1,0)</f>
        <v/>
      </c>
    </row>
    <row r="105">
      <c r="A105" s="5" t="inlineStr">
        <is>
          <t>ANVISA</t>
        </is>
      </c>
      <c r="B105" s="5" t="inlineStr">
        <is>
          <t>PS.GER.III</t>
        </is>
      </c>
      <c r="C105" s="5" t="inlineStr">
        <is>
          <t>PS</t>
        </is>
      </c>
      <c r="D105" s="5" t="n">
        <v>2</v>
      </c>
      <c r="E105" s="5" t="inlineStr">
        <is>
          <t>Gerenciado</t>
        </is>
      </c>
      <c r="F105" s="5" t="inlineStr">
        <is>
          <t>III</t>
        </is>
      </c>
      <c r="G105" s="5" t="inlineStr">
        <is>
          <t>Todas as informações relativas aos processos em andamento são divulgadas no portal do órgão e/ou plataforma Participa Mais Brasil;</t>
        </is>
      </c>
      <c r="H105" s="6" t="n"/>
      <c r="I105" s="6" t="n"/>
      <c r="J105" s="6" t="n"/>
      <c r="K105" s="6" t="inlineStr">
        <is>
          <t>pendente</t>
        </is>
      </c>
      <c r="L105" s="6" t="n"/>
      <c r="M105" s="5">
        <f>IF(H105="SIM",1,0)</f>
        <v/>
      </c>
      <c r="N105" s="5">
        <f>IF(AND(H105="SIM",K105="validado",I105&lt;&gt;""),1,0)</f>
        <v/>
      </c>
    </row>
    <row r="106">
      <c r="A106" s="5" t="inlineStr">
        <is>
          <t>ANVISA</t>
        </is>
      </c>
      <c r="B106" s="5" t="inlineStr">
        <is>
          <t>PS.MC.IV</t>
        </is>
      </c>
      <c r="C106" s="5" t="inlineStr">
        <is>
          <t>PS</t>
        </is>
      </c>
      <c r="D106" s="5" t="n">
        <v>2</v>
      </c>
      <c r="E106" s="5" t="inlineStr">
        <is>
          <t>Melhoria Contínua</t>
        </is>
      </c>
      <c r="F106" s="5" t="inlineStr">
        <is>
          <t>IV</t>
        </is>
      </c>
      <c r="G106" s="5" t="inlineStr">
        <is>
          <t>A efetividade do evento de participação social é mensurada, conforme metodologia instituída.</t>
        </is>
      </c>
      <c r="H106" s="6" t="n"/>
      <c r="I106" s="6" t="n"/>
      <c r="J106" s="6" t="n"/>
      <c r="K106" s="6" t="inlineStr">
        <is>
          <t>pendente</t>
        </is>
      </c>
      <c r="L106" s="6" t="n"/>
      <c r="M106" s="5">
        <f>IF(H106="SIM",1,0)</f>
        <v/>
      </c>
      <c r="N106" s="5">
        <f>IF(AND(H106="SIM",K106="validado",I106&lt;&gt;""),1,0)</f>
        <v/>
      </c>
    </row>
    <row r="107">
      <c r="A107" s="5" t="inlineStr">
        <is>
          <t>ANVISA</t>
        </is>
      </c>
      <c r="B107" s="5" t="inlineStr">
        <is>
          <t>PS.GER.IV</t>
        </is>
      </c>
      <c r="C107" s="5" t="inlineStr">
        <is>
          <t>PS</t>
        </is>
      </c>
      <c r="D107" s="5" t="n">
        <v>2</v>
      </c>
      <c r="E107" s="5" t="inlineStr">
        <is>
          <t>Gerenciado</t>
        </is>
      </c>
      <c r="F107" s="5" t="inlineStr">
        <is>
          <t>IV</t>
        </is>
      </c>
      <c r="G107" s="5" t="inlineStr">
        <is>
          <t>A efetividade do evento de participação social é avaliada de forma intuitiva.</t>
        </is>
      </c>
      <c r="H107" s="6" t="n"/>
      <c r="I107" s="6" t="n"/>
      <c r="J107" s="6" t="n"/>
      <c r="K107" s="6" t="inlineStr">
        <is>
          <t>pendente</t>
        </is>
      </c>
      <c r="L107" s="6" t="n"/>
      <c r="M107" s="5">
        <f>IF(H107="SIM",1,0)</f>
        <v/>
      </c>
      <c r="N107" s="5">
        <f>IF(AND(H107="SIM",K107="validado",I107&lt;&gt;""),1,0)</f>
        <v/>
      </c>
    </row>
    <row r="108">
      <c r="A108" s="5" t="inlineStr">
        <is>
          <t>ANVISA</t>
        </is>
      </c>
      <c r="B108" s="5" t="inlineStr">
        <is>
          <t>EST.MC.I</t>
        </is>
      </c>
      <c r="C108" s="5" t="inlineStr">
        <is>
          <t>EST</t>
        </is>
      </c>
      <c r="D108" s="5" t="n">
        <v>3</v>
      </c>
      <c r="E108" s="5" t="inlineStr">
        <is>
          <t>Melhoria Contínua</t>
        </is>
      </c>
      <c r="F108" s="5" t="inlineStr">
        <is>
          <t>I</t>
        </is>
      </c>
      <c r="G108" s="5" t="inlineStr">
        <is>
          <t>As alterações do estoque regulatório da instituição são priorizadas por meio de uma agenda regulatória;</t>
        </is>
      </c>
      <c r="H108" s="6" t="n"/>
      <c r="I108" s="6" t="n"/>
      <c r="J108" s="6" t="n"/>
      <c r="K108" s="6" t="inlineStr">
        <is>
          <t>pendente</t>
        </is>
      </c>
      <c r="L108" s="6" t="n"/>
      <c r="M108" s="5">
        <f>IF(H108="SIM",1,0)</f>
        <v/>
      </c>
      <c r="N108" s="5">
        <f>IF(AND(H108="SIM",K108="validado",I108&lt;&gt;""),1,0)</f>
        <v/>
      </c>
    </row>
    <row r="109">
      <c r="A109" s="5" t="inlineStr">
        <is>
          <t>ANVISA</t>
        </is>
      </c>
      <c r="B109" s="5" t="inlineStr">
        <is>
          <t>EST.GER.I</t>
        </is>
      </c>
      <c r="C109" s="5" t="inlineStr">
        <is>
          <t>EST</t>
        </is>
      </c>
      <c r="D109" s="5" t="n">
        <v>3</v>
      </c>
      <c r="E109" s="5" t="inlineStr">
        <is>
          <t>Gerenciado</t>
        </is>
      </c>
      <c r="F109" s="5" t="inlineStr">
        <is>
          <t>I</t>
        </is>
      </c>
      <c r="G109" s="5" t="inlineStr">
        <is>
          <t>Normas publicadas e disponíveis de maneira sistematizada para consulta pública no portal gov.br;</t>
        </is>
      </c>
      <c r="H109" s="6" t="n"/>
      <c r="I109" s="6" t="n"/>
      <c r="J109" s="6" t="n"/>
      <c r="K109" s="6" t="inlineStr">
        <is>
          <t>pendente</t>
        </is>
      </c>
      <c r="L109" s="6" t="n"/>
      <c r="M109" s="5">
        <f>IF(H109="SIM",1,0)</f>
        <v/>
      </c>
      <c r="N109" s="5">
        <f>IF(AND(H109="SIM",K109="validado",I109&lt;&gt;""),1,0)</f>
        <v/>
      </c>
    </row>
    <row r="110">
      <c r="A110" s="5" t="inlineStr">
        <is>
          <t>ANVISA</t>
        </is>
      </c>
      <c r="B110" s="5" t="inlineStr">
        <is>
          <t>EST.INI.I</t>
        </is>
      </c>
      <c r="C110" s="5" t="inlineStr">
        <is>
          <t>EST</t>
        </is>
      </c>
      <c r="D110" s="5" t="n">
        <v>3</v>
      </c>
      <c r="E110" s="5" t="inlineStr">
        <is>
          <t>Inicial</t>
        </is>
      </c>
      <c r="F110" s="5" t="inlineStr">
        <is>
          <t>I</t>
        </is>
      </c>
      <c r="G110" s="5" t="inlineStr">
        <is>
          <t>Normas publicadas e disponíveis de maneira sistematizada para consulta pública na internet;</t>
        </is>
      </c>
      <c r="H110" s="6" t="n"/>
      <c r="I110" s="6" t="n"/>
      <c r="J110" s="6" t="n"/>
      <c r="K110" s="6" t="inlineStr">
        <is>
          <t>pendente</t>
        </is>
      </c>
      <c r="L110" s="6" t="n"/>
      <c r="M110" s="5">
        <f>IF(H110="SIM",1,0)</f>
        <v/>
      </c>
      <c r="N110" s="5">
        <f>IF(AND(H110="SIM",K110="validado",I110&lt;&gt;""),1,0)</f>
        <v/>
      </c>
    </row>
    <row r="111">
      <c r="A111" s="5" t="inlineStr">
        <is>
          <t>ANVISA</t>
        </is>
      </c>
      <c r="B111" s="5" t="inlineStr">
        <is>
          <t>EST.MC.II</t>
        </is>
      </c>
      <c r="C111" s="5" t="inlineStr">
        <is>
          <t>EST</t>
        </is>
      </c>
      <c r="D111" s="5" t="n">
        <v>3</v>
      </c>
      <c r="E111" s="5" t="inlineStr">
        <is>
          <t>Melhoria Contínua</t>
        </is>
      </c>
      <c r="F111" s="5" t="inlineStr">
        <is>
          <t>II</t>
        </is>
      </c>
      <c r="G111" s="5" t="inlineStr">
        <is>
          <t>Todas as novas normas passam pela análise de consolidação e compatibilização de normas vigentes.</t>
        </is>
      </c>
      <c r="H111" s="6" t="n"/>
      <c r="I111" s="6" t="n"/>
      <c r="J111" s="6" t="n"/>
      <c r="K111" s="6" t="inlineStr">
        <is>
          <t>pendente</t>
        </is>
      </c>
      <c r="L111" s="6" t="n"/>
      <c r="M111" s="5">
        <f>IF(H111="SIM",1,0)</f>
        <v/>
      </c>
      <c r="N111" s="5">
        <f>IF(AND(H111="SIM",K111="validado",I111&lt;&gt;""),1,0)</f>
        <v/>
      </c>
    </row>
    <row r="112">
      <c r="A112" s="5" t="inlineStr">
        <is>
          <t>ANVISA</t>
        </is>
      </c>
      <c r="B112" s="5" t="inlineStr">
        <is>
          <t>EST.GER.II</t>
        </is>
      </c>
      <c r="C112" s="5" t="inlineStr">
        <is>
          <t>EST</t>
        </is>
      </c>
      <c r="D112" s="5" t="n">
        <v>3</v>
      </c>
      <c r="E112" s="5" t="inlineStr">
        <is>
          <t>Gerenciado</t>
        </is>
      </c>
      <c r="F112" s="5" t="inlineStr">
        <is>
          <t>II</t>
        </is>
      </c>
      <c r="G112" s="5" t="inlineStr">
        <is>
          <t>Foi realizado levantamento quantitativo de todas as normas do órgão, bem como análise qualitativa, indexação e classificação por tema;</t>
        </is>
      </c>
      <c r="H112" s="6" t="n"/>
      <c r="I112" s="6" t="n"/>
      <c r="J112" s="6" t="n"/>
      <c r="K112" s="6" t="inlineStr">
        <is>
          <t>pendente</t>
        </is>
      </c>
      <c r="L112" s="6" t="n"/>
      <c r="M112" s="5">
        <f>IF(H112="SIM",1,0)</f>
        <v/>
      </c>
      <c r="N112" s="5">
        <f>IF(AND(H112="SIM",K112="validado",I112&lt;&gt;""),1,0)</f>
        <v/>
      </c>
    </row>
    <row r="113">
      <c r="A113" s="5" t="inlineStr">
        <is>
          <t>ANVISA</t>
        </is>
      </c>
      <c r="B113" s="5" t="inlineStr">
        <is>
          <t>EST.INI.II</t>
        </is>
      </c>
      <c r="C113" s="5" t="inlineStr">
        <is>
          <t>EST</t>
        </is>
      </c>
      <c r="D113" s="5" t="n">
        <v>3</v>
      </c>
      <c r="E113" s="5" t="inlineStr">
        <is>
          <t>Inicial</t>
        </is>
      </c>
      <c r="F113" s="5" t="inlineStr">
        <is>
          <t>II</t>
        </is>
      </c>
      <c r="G113" s="5" t="inlineStr">
        <is>
          <t>Foi realizado levantamento quantitativo de todas as normas do órgão.</t>
        </is>
      </c>
      <c r="H113" s="6" t="n"/>
      <c r="I113" s="6" t="n"/>
      <c r="J113" s="6" t="n"/>
      <c r="K113" s="6" t="inlineStr">
        <is>
          <t>pendente</t>
        </is>
      </c>
      <c r="L113" s="6" t="n"/>
      <c r="M113" s="5">
        <f>IF(H113="SIM",1,0)</f>
        <v/>
      </c>
      <c r="N113" s="5">
        <f>IF(AND(H113="SIM",K113="validado",I113&lt;&gt;""),1,0)</f>
        <v/>
      </c>
    </row>
    <row r="114">
      <c r="A114" s="5" t="inlineStr">
        <is>
          <t>ANVISA</t>
        </is>
      </c>
      <c r="B114" s="5" t="inlineStr">
        <is>
          <t>EST.GER.III</t>
        </is>
      </c>
      <c r="C114" s="5" t="inlineStr">
        <is>
          <t>EST</t>
        </is>
      </c>
      <c r="D114" s="5" t="n">
        <v>3</v>
      </c>
      <c r="E114" s="5" t="inlineStr">
        <is>
          <t>Gerenciado</t>
        </is>
      </c>
      <c r="F114" s="5" t="inlineStr">
        <is>
          <t>III</t>
        </is>
      </c>
      <c r="G114" s="5" t="inlineStr">
        <is>
          <t>Para toda a nova norma de alto impacto/alta complexidade foi estimado o fardo regulatório; e</t>
        </is>
      </c>
      <c r="H114" s="6" t="n"/>
      <c r="I114" s="6" t="n"/>
      <c r="J114" s="6" t="n"/>
      <c r="K114" s="6" t="inlineStr">
        <is>
          <t>pendente</t>
        </is>
      </c>
      <c r="L114" s="6" t="n"/>
      <c r="M114" s="5">
        <f>IF(H114="SIM",1,0)</f>
        <v/>
      </c>
      <c r="N114" s="5">
        <f>IF(AND(H114="SIM",K114="validado",I114&lt;&gt;""),1,0)</f>
        <v/>
      </c>
    </row>
    <row r="115">
      <c r="A115" s="5" t="inlineStr">
        <is>
          <t>ANVISA</t>
        </is>
      </c>
      <c r="B115" s="5" t="inlineStr">
        <is>
          <t>EST.GER.IV</t>
        </is>
      </c>
      <c r="C115" s="5" t="inlineStr">
        <is>
          <t>EST</t>
        </is>
      </c>
      <c r="D115" s="5" t="n">
        <v>3</v>
      </c>
      <c r="E115" s="5" t="inlineStr">
        <is>
          <t>Gerenciado</t>
        </is>
      </c>
      <c r="F115" s="5" t="inlineStr">
        <is>
          <t>IV</t>
        </is>
      </c>
      <c r="G115" s="5" t="inlineStr">
        <is>
          <t>Existe manutenção da consolidação normativa, conforme art. 19 do Decreto nº 10.139, de 28 de novembro de 2019.</t>
        </is>
      </c>
      <c r="H115" s="6" t="n"/>
      <c r="I115" s="6" t="n"/>
      <c r="J115" s="6" t="n"/>
      <c r="K115" s="6" t="inlineStr">
        <is>
          <t>pendente</t>
        </is>
      </c>
      <c r="L115" s="6" t="n"/>
      <c r="M115" s="5">
        <f>IF(H115="SIM",1,0)</f>
        <v/>
      </c>
      <c r="N115" s="5">
        <f>IF(AND(H115="SIM",K115="validado",I115&lt;&gt;""),1,0)</f>
        <v/>
      </c>
    </row>
    <row r="116">
      <c r="A116" s="5" t="inlineStr">
        <is>
          <t>ANVISA</t>
        </is>
      </c>
      <c r="B116" s="5" t="inlineStr">
        <is>
          <t>AGE.MC.I</t>
        </is>
      </c>
      <c r="C116" s="5" t="inlineStr">
        <is>
          <t>AGE</t>
        </is>
      </c>
      <c r="D116" s="5" t="n">
        <v>4</v>
      </c>
      <c r="E116" s="5" t="inlineStr">
        <is>
          <t>Melhoria Contínua</t>
        </is>
      </c>
      <c r="F116" s="5" t="inlineStr">
        <is>
          <t>I</t>
        </is>
      </c>
      <c r="G116" s="5" t="inlineStr">
        <is>
          <t>A elaboração da agenda regulatória tem ampla participação social, a qual é analisada, respondida e divulgada;</t>
        </is>
      </c>
      <c r="H116" s="6" t="n"/>
      <c r="I116" s="6" t="n"/>
      <c r="J116" s="6" t="n"/>
      <c r="K116" s="6" t="inlineStr">
        <is>
          <t>pendente</t>
        </is>
      </c>
      <c r="L116" s="6" t="n"/>
      <c r="M116" s="5">
        <f>IF(H116="SIM",1,0)</f>
        <v/>
      </c>
      <c r="N116" s="5">
        <f>IF(AND(H116="SIM",K116="validado",I116&lt;&gt;""),1,0)</f>
        <v/>
      </c>
    </row>
    <row r="117">
      <c r="A117" s="5" t="inlineStr">
        <is>
          <t>ANVISA</t>
        </is>
      </c>
      <c r="B117" s="5" t="inlineStr">
        <is>
          <t>AGE.GER.I</t>
        </is>
      </c>
      <c r="C117" s="5" t="inlineStr">
        <is>
          <t>AGE</t>
        </is>
      </c>
      <c r="D117" s="5" t="n">
        <v>4</v>
      </c>
      <c r="E117" s="5" t="inlineStr">
        <is>
          <t>Gerenciado</t>
        </is>
      </c>
      <c r="F117" s="5" t="inlineStr">
        <is>
          <t>I</t>
        </is>
      </c>
      <c r="G117" s="5" t="inlineStr">
        <is>
          <t>A elaboração da agenda regulatória tem ampla participação social, a qual é analisada, porém não respondida e divulgada;</t>
        </is>
      </c>
      <c r="H117" s="6" t="n"/>
      <c r="I117" s="6" t="n"/>
      <c r="J117" s="6" t="n"/>
      <c r="K117" s="6" t="inlineStr">
        <is>
          <t>pendente</t>
        </is>
      </c>
      <c r="L117" s="6" t="n"/>
      <c r="M117" s="5">
        <f>IF(H117="SIM",1,0)</f>
        <v/>
      </c>
      <c r="N117" s="5">
        <f>IF(AND(H117="SIM",K117="validado",I117&lt;&gt;""),1,0)</f>
        <v/>
      </c>
    </row>
    <row r="118">
      <c r="A118" s="5" t="inlineStr">
        <is>
          <t>ANVISA</t>
        </is>
      </c>
      <c r="B118" s="5" t="inlineStr">
        <is>
          <t>AGE.INI.I</t>
        </is>
      </c>
      <c r="C118" s="5" t="inlineStr">
        <is>
          <t>AGE</t>
        </is>
      </c>
      <c r="D118" s="5" t="n">
        <v>4</v>
      </c>
      <c r="E118" s="5" t="inlineStr">
        <is>
          <t>Inicial</t>
        </is>
      </c>
      <c r="F118" s="5" t="inlineStr">
        <is>
          <t>I</t>
        </is>
      </c>
      <c r="G118" s="5" t="inlineStr">
        <is>
          <t>Os temas da agenda regulatória são elencados e priorizados pelos gestores da agência;</t>
        </is>
      </c>
      <c r="H118" s="6" t="n"/>
      <c r="I118" s="6" t="n"/>
      <c r="J118" s="6" t="n"/>
      <c r="K118" s="6" t="inlineStr">
        <is>
          <t>pendente</t>
        </is>
      </c>
      <c r="L118" s="6" t="n"/>
      <c r="M118" s="5">
        <f>IF(H118="SIM",1,0)</f>
        <v/>
      </c>
      <c r="N118" s="5">
        <f>IF(AND(H118="SIM",K118="validado",I118&lt;&gt;""),1,0)</f>
        <v/>
      </c>
    </row>
    <row r="119">
      <c r="A119" s="5" t="inlineStr">
        <is>
          <t>ANVISA</t>
        </is>
      </c>
      <c r="B119" s="5" t="inlineStr">
        <is>
          <t>AGE.MC.II</t>
        </is>
      </c>
      <c r="C119" s="5" t="inlineStr">
        <is>
          <t>AGE</t>
        </is>
      </c>
      <c r="D119" s="5" t="n">
        <v>4</v>
      </c>
      <c r="E119" s="5" t="inlineStr">
        <is>
          <t>Melhoria Contínua</t>
        </is>
      </c>
      <c r="F119" s="5" t="inlineStr">
        <is>
          <t>II</t>
        </is>
      </c>
      <c r="G119" s="5" t="inlineStr">
        <is>
          <t>Os projetos da Agenda Regulatória estão aderentes ao planejamento estratégico vigente e estão correlacionados ao Plano de Gestão Anual;</t>
        </is>
      </c>
      <c r="H119" s="6" t="n"/>
      <c r="I119" s="6" t="n"/>
      <c r="J119" s="6" t="n"/>
      <c r="K119" s="6" t="inlineStr">
        <is>
          <t>pendente</t>
        </is>
      </c>
      <c r="L119" s="6" t="n"/>
      <c r="M119" s="5">
        <f>IF(H119="SIM",1,0)</f>
        <v/>
      </c>
      <c r="N119" s="5">
        <f>IF(AND(H119="SIM",K119="validado",I119&lt;&gt;""),1,0)</f>
        <v/>
      </c>
    </row>
    <row r="120">
      <c r="A120" s="5" t="inlineStr">
        <is>
          <t>ANVISA</t>
        </is>
      </c>
      <c r="B120" s="5" t="inlineStr">
        <is>
          <t>AGE.GER.II</t>
        </is>
      </c>
      <c r="C120" s="5" t="inlineStr">
        <is>
          <t>AGE</t>
        </is>
      </c>
      <c r="D120" s="5" t="n">
        <v>4</v>
      </c>
      <c r="E120" s="5" t="inlineStr">
        <is>
          <t>Gerenciado</t>
        </is>
      </c>
      <c r="F120" s="5" t="inlineStr">
        <is>
          <t>II</t>
        </is>
      </c>
      <c r="G120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120" s="6" t="n"/>
      <c r="I120" s="6" t="n"/>
      <c r="J120" s="6" t="n"/>
      <c r="K120" s="6" t="inlineStr">
        <is>
          <t>pendente</t>
        </is>
      </c>
      <c r="L120" s="6" t="n"/>
      <c r="M120" s="5">
        <f>IF(H120="SIM",1,0)</f>
        <v/>
      </c>
      <c r="N120" s="5">
        <f>IF(AND(H120="SIM",K120="validado",I120&lt;&gt;""),1,0)</f>
        <v/>
      </c>
    </row>
    <row r="121">
      <c r="A121" s="5" t="inlineStr">
        <is>
          <t>ANVISA</t>
        </is>
      </c>
      <c r="B121" s="5" t="inlineStr">
        <is>
          <t>AGE.INI.II</t>
        </is>
      </c>
      <c r="C121" s="5" t="inlineStr">
        <is>
          <t>AGE</t>
        </is>
      </c>
      <c r="D121" s="5" t="n">
        <v>4</v>
      </c>
      <c r="E121" s="5" t="inlineStr">
        <is>
          <t>Inicial</t>
        </is>
      </c>
      <c r="F121" s="5" t="inlineStr">
        <is>
          <t>II</t>
        </is>
      </c>
      <c r="G121" s="5" t="inlineStr">
        <is>
          <t>É avaliada a aderência da proposta de Agenda às políticas públicas.</t>
        </is>
      </c>
      <c r="H121" s="6" t="n"/>
      <c r="I121" s="6" t="n"/>
      <c r="J121" s="6" t="n"/>
      <c r="K121" s="6" t="inlineStr">
        <is>
          <t>pendente</t>
        </is>
      </c>
      <c r="L121" s="6" t="n"/>
      <c r="M121" s="5">
        <f>IF(H121="SIM",1,0)</f>
        <v/>
      </c>
      <c r="N121" s="5">
        <f>IF(AND(H121="SIM",K121="validado",I121&lt;&gt;""),1,0)</f>
        <v/>
      </c>
    </row>
    <row r="122">
      <c r="A122" s="5" t="inlineStr">
        <is>
          <t>ANVISA</t>
        </is>
      </c>
      <c r="B122" s="5" t="inlineStr">
        <is>
          <t>AGE.MC.III</t>
        </is>
      </c>
      <c r="C122" s="5" t="inlineStr">
        <is>
          <t>AGE</t>
        </is>
      </c>
      <c r="D122" s="5" t="n">
        <v>4</v>
      </c>
      <c r="E122" s="5" t="inlineStr">
        <is>
          <t>Melhoria Contínua</t>
        </is>
      </c>
      <c r="F122" s="5" t="inlineStr">
        <is>
          <t>III</t>
        </is>
      </c>
      <c r="G122" s="5" t="inlineStr">
        <is>
          <t>Cumprimento de, no mínimo, 80% da Agenda Regulatória;</t>
        </is>
      </c>
      <c r="H122" s="6" t="n"/>
      <c r="I122" s="6" t="n"/>
      <c r="J122" s="6" t="n"/>
      <c r="K122" s="6" t="inlineStr">
        <is>
          <t>pendente</t>
        </is>
      </c>
      <c r="L122" s="6" t="n"/>
      <c r="M122" s="5">
        <f>IF(H122="SIM",1,0)</f>
        <v/>
      </c>
      <c r="N122" s="5">
        <f>IF(AND(H122="SIM",K122="validado",I122&lt;&gt;""),1,0)</f>
        <v/>
      </c>
    </row>
    <row r="123">
      <c r="A123" s="5" t="inlineStr">
        <is>
          <t>ANVISA</t>
        </is>
      </c>
      <c r="B123" s="5" t="inlineStr">
        <is>
          <t>AGE.GER.III</t>
        </is>
      </c>
      <c r="C123" s="5" t="inlineStr">
        <is>
          <t>AGE</t>
        </is>
      </c>
      <c r="D123" s="5" t="n">
        <v>4</v>
      </c>
      <c r="E123" s="5" t="inlineStr">
        <is>
          <t>Gerenciado</t>
        </is>
      </c>
      <c r="F123" s="5" t="inlineStr">
        <is>
          <t>III</t>
        </is>
      </c>
      <c r="G123" s="5" t="inlineStr">
        <is>
          <t>Cumprimento de 50% a 79% da Agenda Regulatória;</t>
        </is>
      </c>
      <c r="H123" s="6" t="n"/>
      <c r="I123" s="6" t="n"/>
      <c r="J123" s="6" t="n"/>
      <c r="K123" s="6" t="inlineStr">
        <is>
          <t>pendente</t>
        </is>
      </c>
      <c r="L123" s="6" t="n"/>
      <c r="M123" s="5">
        <f>IF(H123="SIM",1,0)</f>
        <v/>
      </c>
      <c r="N123" s="5">
        <f>IF(AND(H123="SIM",K123="validado",I123&lt;&gt;""),1,0)</f>
        <v/>
      </c>
    </row>
    <row r="124">
      <c r="A124" s="5" t="inlineStr">
        <is>
          <t>ANVISA</t>
        </is>
      </c>
      <c r="B124" s="5" t="inlineStr">
        <is>
          <t>AGE.MC.IV</t>
        </is>
      </c>
      <c r="C124" s="5" t="inlineStr">
        <is>
          <t>AGE</t>
        </is>
      </c>
      <c r="D124" s="5" t="n">
        <v>4</v>
      </c>
      <c r="E124" s="5" t="inlineStr">
        <is>
          <t>Melhoria Contínua</t>
        </is>
      </c>
      <c r="F124" s="5" t="inlineStr">
        <is>
          <t>IV</t>
        </is>
      </c>
      <c r="G124" s="5" t="inlineStr">
        <is>
          <t>A execução da Agenda Regulatória é periodicamente monitorada e divulgada.</t>
        </is>
      </c>
      <c r="H124" s="6" t="n"/>
      <c r="I124" s="6" t="n"/>
      <c r="J124" s="6" t="n"/>
      <c r="K124" s="6" t="inlineStr">
        <is>
          <t>pendente</t>
        </is>
      </c>
      <c r="L124" s="6" t="n"/>
      <c r="M124" s="5">
        <f>IF(H124="SIM",1,0)</f>
        <v/>
      </c>
      <c r="N124" s="5">
        <f>IF(AND(H124="SIM",K124="validado",I124&lt;&gt;""),1,0)</f>
        <v/>
      </c>
    </row>
    <row r="125">
      <c r="A125" s="5" t="inlineStr">
        <is>
          <t>ANVISA</t>
        </is>
      </c>
      <c r="B125" s="5" t="inlineStr">
        <is>
          <t>AGE.GER.IV</t>
        </is>
      </c>
      <c r="C125" s="5" t="inlineStr">
        <is>
          <t>AGE</t>
        </is>
      </c>
      <c r="D125" s="5" t="n">
        <v>4</v>
      </c>
      <c r="E125" s="5" t="inlineStr">
        <is>
          <t>Gerenciado</t>
        </is>
      </c>
      <c r="F125" s="5" t="inlineStr">
        <is>
          <t>IV</t>
        </is>
      </c>
      <c r="G125" s="5" t="inlineStr">
        <is>
          <t>A execução da Agenda Regulatória é periodicamente monitorada.</t>
        </is>
      </c>
      <c r="H125" s="6" t="n"/>
      <c r="I125" s="6" t="n"/>
      <c r="J125" s="6" t="n"/>
      <c r="K125" s="6" t="inlineStr">
        <is>
          <t>pendente</t>
        </is>
      </c>
      <c r="L125" s="6" t="n"/>
      <c r="M125" s="5">
        <f>IF(H125="SIM",1,0)</f>
        <v/>
      </c>
      <c r="N125" s="5">
        <f>IF(AND(H125="SIM",K125="validado",I125&lt;&gt;""),1,0)</f>
        <v/>
      </c>
    </row>
    <row r="126">
      <c r="A126" s="5" t="inlineStr">
        <is>
          <t>ANVISA</t>
        </is>
      </c>
      <c r="B126" s="5" t="inlineStr">
        <is>
          <t>PRO.MC.I</t>
        </is>
      </c>
      <c r="C126" s="5" t="inlineStr">
        <is>
          <t>PRO</t>
        </is>
      </c>
      <c r="D126" s="5" t="n">
        <v>5</v>
      </c>
      <c r="E126" s="5" t="inlineStr">
        <is>
          <t>Melhoria Contínua</t>
        </is>
      </c>
      <c r="F126" s="5" t="inlineStr">
        <is>
          <t>I</t>
        </is>
      </c>
      <c r="G126" s="5" t="inlineStr">
        <is>
          <t>Indicadores de processo normativo estabelecidos e monitorados;</t>
        </is>
      </c>
      <c r="H126" s="6" t="n"/>
      <c r="I126" s="6" t="n"/>
      <c r="J126" s="6" t="n"/>
      <c r="K126" s="6" t="inlineStr">
        <is>
          <t>pendente</t>
        </is>
      </c>
      <c r="L126" s="6" t="n"/>
      <c r="M126" s="5">
        <f>IF(H126="SIM",1,0)</f>
        <v/>
      </c>
      <c r="N126" s="5">
        <f>IF(AND(H126="SIM",K126="validado",I126&lt;&gt;""),1,0)</f>
        <v/>
      </c>
    </row>
    <row r="127">
      <c r="A127" s="5" t="inlineStr">
        <is>
          <t>ANVISA</t>
        </is>
      </c>
      <c r="B127" s="5" t="inlineStr">
        <is>
          <t>PRO.GER.I</t>
        </is>
      </c>
      <c r="C127" s="5" t="inlineStr">
        <is>
          <t>PRO</t>
        </is>
      </c>
      <c r="D127" s="5" t="n">
        <v>5</v>
      </c>
      <c r="E127" s="5" t="inlineStr">
        <is>
          <t>Gerenciado</t>
        </is>
      </c>
      <c r="F127" s="5" t="inlineStr">
        <is>
          <t>I</t>
        </is>
      </c>
      <c r="G127" s="5" t="inlineStr">
        <is>
          <t>as intervenções de participação social estão claramente inseridas no processo.</t>
        </is>
      </c>
      <c r="H127" s="6" t="n"/>
      <c r="I127" s="6" t="n"/>
      <c r="J127" s="6" t="n"/>
      <c r="K127" s="6" t="inlineStr">
        <is>
          <t>pendente</t>
        </is>
      </c>
      <c r="L127" s="6" t="n"/>
      <c r="M127" s="5">
        <f>IF(H127="SIM",1,0)</f>
        <v/>
      </c>
      <c r="N127" s="5">
        <f>IF(AND(H127="SIM",K127="validado",I127&lt;&gt;""),1,0)</f>
        <v/>
      </c>
    </row>
    <row r="128">
      <c r="A128" s="5" t="inlineStr">
        <is>
          <t>ANVISA</t>
        </is>
      </c>
      <c r="B128" s="5" t="inlineStr">
        <is>
          <t>PRO.INI.I</t>
        </is>
      </c>
      <c r="C128" s="5" t="inlineStr">
        <is>
          <t>PRO</t>
        </is>
      </c>
      <c r="D128" s="5" t="n">
        <v>5</v>
      </c>
      <c r="E128" s="5" t="inlineStr">
        <is>
          <t>Inicial</t>
        </is>
      </c>
      <c r="F128" s="5" t="inlineStr">
        <is>
          <t>I</t>
        </is>
      </c>
      <c r="G128" s="5" t="inlineStr">
        <is>
          <t>O fluxo do processo normativo é formalizado de forma bem definida e clara;</t>
        </is>
      </c>
      <c r="H128" s="6" t="n"/>
      <c r="I128" s="6" t="n"/>
      <c r="J128" s="6" t="n"/>
      <c r="K128" s="6" t="inlineStr">
        <is>
          <t>pendente</t>
        </is>
      </c>
      <c r="L128" s="6" t="n"/>
      <c r="M128" s="5">
        <f>IF(H128="SIM",1,0)</f>
        <v/>
      </c>
      <c r="N128" s="5">
        <f>IF(AND(H128="SIM",K128="validado",I128&lt;&gt;""),1,0)</f>
        <v/>
      </c>
    </row>
    <row r="129">
      <c r="A129" s="5" t="inlineStr">
        <is>
          <t>ANVISA</t>
        </is>
      </c>
      <c r="B129" s="5" t="inlineStr">
        <is>
          <t>PRO.MC.II</t>
        </is>
      </c>
      <c r="C129" s="5" t="inlineStr">
        <is>
          <t>PRO</t>
        </is>
      </c>
      <c r="D129" s="5" t="n">
        <v>5</v>
      </c>
      <c r="E129" s="5" t="inlineStr">
        <is>
          <t>Melhoria Contínua</t>
        </is>
      </c>
      <c r="F129" s="5" t="inlineStr">
        <is>
          <t>II</t>
        </is>
      </c>
      <c r="G129" s="5" t="inlineStr">
        <is>
          <t>Há processo contínuo de avaliação e melhoria do processo normativo, utilizando o resultado dos indicadores.</t>
        </is>
      </c>
      <c r="H129" s="6" t="n"/>
      <c r="I129" s="6" t="n"/>
      <c r="J129" s="6" t="n"/>
      <c r="K129" s="6" t="inlineStr">
        <is>
          <t>pendente</t>
        </is>
      </c>
      <c r="L129" s="6" t="n"/>
      <c r="M129" s="5">
        <f>IF(H129="SIM",1,0)</f>
        <v/>
      </c>
      <c r="N129" s="5">
        <f>IF(AND(H129="SIM",K129="validado",I129&lt;&gt;""),1,0)</f>
        <v/>
      </c>
    </row>
    <row r="130">
      <c r="A130" s="5" t="inlineStr">
        <is>
          <t>ANVISA</t>
        </is>
      </c>
      <c r="B130" s="5" t="inlineStr">
        <is>
          <t>PRO.INI.II</t>
        </is>
      </c>
      <c r="C130" s="5" t="inlineStr">
        <is>
          <t>PRO</t>
        </is>
      </c>
      <c r="D130" s="5" t="n">
        <v>5</v>
      </c>
      <c r="E130" s="5" t="inlineStr">
        <is>
          <t>Inicial</t>
        </is>
      </c>
      <c r="F130" s="5" t="inlineStr">
        <is>
          <t>II</t>
        </is>
      </c>
      <c r="G130" s="5" t="inlineStr">
        <is>
          <t>As instâncias de aprovação estabelecidas são claras e formalizadas.</t>
        </is>
      </c>
      <c r="H130" s="6" t="n"/>
      <c r="I130" s="6" t="n"/>
      <c r="J130" s="6" t="n"/>
      <c r="K130" s="6" t="inlineStr">
        <is>
          <t>pendente</t>
        </is>
      </c>
      <c r="L130" s="6" t="n"/>
      <c r="M130" s="5">
        <f>IF(H130="SIM",1,0)</f>
        <v/>
      </c>
      <c r="N130" s="5">
        <f>IF(AND(H130="SIM",K130="validado",I130&lt;&gt;""),1,0)</f>
        <v/>
      </c>
    </row>
    <row r="131">
      <c r="A131" s="5" t="inlineStr">
        <is>
          <t>ANVISA</t>
        </is>
      </c>
      <c r="B131" s="5" t="inlineStr">
        <is>
          <t>ARR_CAP.MC.I</t>
        </is>
      </c>
      <c r="C131" s="5" t="inlineStr">
        <is>
          <t>ARR_CAP</t>
        </is>
      </c>
      <c r="D131" s="5" t="n">
        <v>6</v>
      </c>
      <c r="E131" s="5" t="inlineStr">
        <is>
          <t>Melhoria Contínua</t>
        </is>
      </c>
      <c r="F131" s="5" t="inlineStr">
        <is>
          <t>I</t>
        </is>
      </c>
      <c r="G131" s="5" t="inlineStr">
        <is>
          <t>Plano de capacitação formalizado e em execução, incluindo permanente reciclagem em ARR;</t>
        </is>
      </c>
      <c r="H131" s="6" t="n"/>
      <c r="I131" s="6" t="n"/>
      <c r="J131" s="6" t="n"/>
      <c r="K131" s="6" t="inlineStr">
        <is>
          <t>pendente</t>
        </is>
      </c>
      <c r="L131" s="6" t="n"/>
      <c r="M131" s="5">
        <f>IF(H131="SIM",1,0)</f>
        <v/>
      </c>
      <c r="N131" s="5">
        <f>IF(AND(H131="SIM",K131="validado",I131&lt;&gt;""),1,0)</f>
        <v/>
      </c>
    </row>
    <row r="132">
      <c r="A132" s="5" t="inlineStr">
        <is>
          <t>ANVISA</t>
        </is>
      </c>
      <c r="B132" s="5" t="inlineStr">
        <is>
          <t>ARR_CAP.GER.I</t>
        </is>
      </c>
      <c r="C132" s="5" t="inlineStr">
        <is>
          <t>ARR_CAP</t>
        </is>
      </c>
      <c r="D132" s="5" t="n">
        <v>6</v>
      </c>
      <c r="E132" s="5" t="inlineStr">
        <is>
          <t>Gerenciado</t>
        </is>
      </c>
      <c r="F132" s="5" t="inlineStr">
        <is>
          <t>I</t>
        </is>
      </c>
      <c r="G132" s="5" t="inlineStr">
        <is>
          <t>Capacitações institucionalizadas, sem um plano formalizado;</t>
        </is>
      </c>
      <c r="H132" s="6" t="n"/>
      <c r="I132" s="6" t="n"/>
      <c r="J132" s="6" t="n"/>
      <c r="K132" s="6" t="inlineStr">
        <is>
          <t>pendente</t>
        </is>
      </c>
      <c r="L132" s="6" t="n"/>
      <c r="M132" s="5">
        <f>IF(H132="SIM",1,0)</f>
        <v/>
      </c>
      <c r="N132" s="5">
        <f>IF(AND(H132="SIM",K132="validado",I132&lt;&gt;""),1,0)</f>
        <v/>
      </c>
    </row>
    <row r="133">
      <c r="A133" s="5" t="inlineStr">
        <is>
          <t>ANVISA</t>
        </is>
      </c>
      <c r="B133" s="5" t="inlineStr">
        <is>
          <t>ARR_CAP.INI.I</t>
        </is>
      </c>
      <c r="C133" s="5" t="inlineStr">
        <is>
          <t>ARR_CAP</t>
        </is>
      </c>
      <c r="D133" s="5" t="n">
        <v>6</v>
      </c>
      <c r="E133" s="5" t="inlineStr">
        <is>
          <t>Inicial</t>
        </is>
      </c>
      <c r="F133" s="5" t="inlineStr">
        <is>
          <t>I</t>
        </is>
      </c>
      <c r="G133" s="5" t="inlineStr">
        <is>
          <t>Capacitações não estão institucionalizadas;</t>
        </is>
      </c>
      <c r="H133" s="6" t="n"/>
      <c r="I133" s="6" t="n"/>
      <c r="J133" s="6" t="n"/>
      <c r="K133" s="6" t="inlineStr">
        <is>
          <t>pendente</t>
        </is>
      </c>
      <c r="L133" s="6" t="n"/>
      <c r="M133" s="5">
        <f>IF(H133="SIM",1,0)</f>
        <v/>
      </c>
      <c r="N133" s="5">
        <f>IF(AND(H133="SIM",K133="validado",I133&lt;&gt;""),1,0)</f>
        <v/>
      </c>
    </row>
    <row r="134">
      <c r="A134" s="5" t="inlineStr">
        <is>
          <t>ANVISA</t>
        </is>
      </c>
      <c r="B134" s="5" t="inlineStr">
        <is>
          <t>ARR_CAP.MC.II</t>
        </is>
      </c>
      <c r="C134" s="5" t="inlineStr">
        <is>
          <t>ARR_CAP</t>
        </is>
      </c>
      <c r="D134" s="5" t="n">
        <v>6</v>
      </c>
      <c r="E134" s="5" t="inlineStr">
        <is>
          <t>Melhoria Contínua</t>
        </is>
      </c>
      <c r="F134" s="5" t="inlineStr">
        <is>
          <t>II</t>
        </is>
      </c>
      <c r="G134" s="5" t="inlineStr">
        <is>
          <t>No mínimo, 75% dos servidores envolvidos em elaboração de regulação capacitados em ARR.</t>
        </is>
      </c>
      <c r="H134" s="6" t="n"/>
      <c r="I134" s="6" t="n"/>
      <c r="J134" s="6" t="n"/>
      <c r="K134" s="6" t="inlineStr">
        <is>
          <t>pendente</t>
        </is>
      </c>
      <c r="L134" s="6" t="n"/>
      <c r="M134" s="5">
        <f>IF(H134="SIM",1,0)</f>
        <v/>
      </c>
      <c r="N134" s="5">
        <f>IF(AND(H134="SIM",K134="validado",I134&lt;&gt;""),1,0)</f>
        <v/>
      </c>
    </row>
    <row r="135">
      <c r="A135" s="5" t="inlineStr">
        <is>
          <t>ANVISA</t>
        </is>
      </c>
      <c r="B135" s="5" t="inlineStr">
        <is>
          <t>ARR_CAP.GER.II</t>
        </is>
      </c>
      <c r="C135" s="5" t="inlineStr">
        <is>
          <t>ARR_CAP</t>
        </is>
      </c>
      <c r="D135" s="5" t="n">
        <v>6</v>
      </c>
      <c r="E135" s="5" t="inlineStr">
        <is>
          <t>Gerenciado</t>
        </is>
      </c>
      <c r="F135" s="5" t="inlineStr">
        <is>
          <t>II</t>
        </is>
      </c>
      <c r="G135" s="5" t="inlineStr">
        <is>
          <t>de 50% a 74% dos servidores envolvidos em elaboração de regulação capacitados em ARR;</t>
        </is>
      </c>
      <c r="H135" s="6" t="n"/>
      <c r="I135" s="6" t="n"/>
      <c r="J135" s="6" t="n"/>
      <c r="K135" s="6" t="inlineStr">
        <is>
          <t>pendente</t>
        </is>
      </c>
      <c r="L135" s="6" t="n"/>
      <c r="M135" s="5">
        <f>IF(H135="SIM",1,0)</f>
        <v/>
      </c>
      <c r="N135" s="5">
        <f>IF(AND(H135="SIM",K135="validado",I135&lt;&gt;""),1,0)</f>
        <v/>
      </c>
    </row>
    <row r="136">
      <c r="A136" s="5" t="inlineStr">
        <is>
          <t>ANVISA</t>
        </is>
      </c>
      <c r="B136" s="5" t="inlineStr">
        <is>
          <t>ARR_CAP.INI.II</t>
        </is>
      </c>
      <c r="C136" s="5" t="inlineStr">
        <is>
          <t>ARR_CAP</t>
        </is>
      </c>
      <c r="D136" s="5" t="n">
        <v>6</v>
      </c>
      <c r="E136" s="5" t="inlineStr">
        <is>
          <t>Inicial</t>
        </is>
      </c>
      <c r="F136" s="5" t="inlineStr">
        <is>
          <t>II</t>
        </is>
      </c>
      <c r="G136" s="5" t="inlineStr">
        <is>
          <t>de 25% a 49% dos servidores envolvidos em elaboração de regulação capacitados em ARR.</t>
        </is>
      </c>
      <c r="H136" s="6" t="n"/>
      <c r="I136" s="6" t="n"/>
      <c r="J136" s="6" t="n"/>
      <c r="K136" s="6" t="inlineStr">
        <is>
          <t>pendente</t>
        </is>
      </c>
      <c r="L136" s="6" t="n"/>
      <c r="M136" s="5">
        <f>IF(H136="SIM",1,0)</f>
        <v/>
      </c>
      <c r="N136" s="5">
        <f>IF(AND(H136="SIM",K136="validado",I136&lt;&gt;""),1,0)</f>
        <v/>
      </c>
    </row>
    <row r="137">
      <c r="A137" s="5" t="inlineStr">
        <is>
          <t>ANVISA</t>
        </is>
      </c>
      <c r="B137" s="5" t="inlineStr">
        <is>
          <t>ARR_MET.MC.I</t>
        </is>
      </c>
      <c r="C137" s="5" t="inlineStr">
        <is>
          <t>ARR_MET</t>
        </is>
      </c>
      <c r="D137" s="5" t="n">
        <v>6</v>
      </c>
      <c r="E137" s="5" t="inlineStr">
        <is>
          <t>Melhoria Contínua</t>
        </is>
      </c>
      <c r="F137" s="5" t="inlineStr">
        <is>
          <t>I</t>
        </is>
      </c>
      <c r="G137" s="5" t="inlineStr">
        <is>
          <t>Metodologia de elaboração de ARR contempla a participação social, conforme complexidade do ato;</t>
        </is>
      </c>
      <c r="H137" s="6" t="n"/>
      <c r="I137" s="6" t="n"/>
      <c r="J137" s="6" t="n"/>
      <c r="K137" s="6" t="inlineStr">
        <is>
          <t>pendente</t>
        </is>
      </c>
      <c r="L137" s="6" t="n"/>
      <c r="M137" s="5">
        <f>IF(H137="SIM",1,0)</f>
        <v/>
      </c>
      <c r="N137" s="5">
        <f>IF(AND(H137="SIM",K137="validado",I137&lt;&gt;""),1,0)</f>
        <v/>
      </c>
    </row>
    <row r="138">
      <c r="A138" s="5" t="inlineStr">
        <is>
          <t>ANVISA</t>
        </is>
      </c>
      <c r="B138" s="5" t="inlineStr">
        <is>
          <t>ARR_MET.GER.I</t>
        </is>
      </c>
      <c r="C138" s="5" t="inlineStr">
        <is>
          <t>ARR_MET</t>
        </is>
      </c>
      <c r="D138" s="5" t="n">
        <v>6</v>
      </c>
      <c r="E138" s="5" t="inlineStr">
        <is>
          <t>Gerenciado</t>
        </is>
      </c>
      <c r="F138" s="5" t="inlineStr">
        <is>
          <t>I</t>
        </is>
      </c>
      <c r="G138" s="5" t="inlineStr">
        <is>
          <t>Existência de manual ou ato normativo instituindo a aplicabilidade de ARR no órgão;</t>
        </is>
      </c>
      <c r="H138" s="6" t="n"/>
      <c r="I138" s="6" t="n"/>
      <c r="J138" s="6" t="n"/>
      <c r="K138" s="6" t="inlineStr">
        <is>
          <t>pendente</t>
        </is>
      </c>
      <c r="L138" s="6" t="n"/>
      <c r="M138" s="5">
        <f>IF(H138="SIM",1,0)</f>
        <v/>
      </c>
      <c r="N138" s="5">
        <f>IF(AND(H138="SIM",K138="validado",I138&lt;&gt;""),1,0)</f>
        <v/>
      </c>
    </row>
    <row r="139">
      <c r="A139" s="5" t="inlineStr">
        <is>
          <t>ANVISA</t>
        </is>
      </c>
      <c r="B139" s="5" t="inlineStr">
        <is>
          <t>ARR_MET.INI.I</t>
        </is>
      </c>
      <c r="C139" s="5" t="inlineStr">
        <is>
          <t>ARR_MET</t>
        </is>
      </c>
      <c r="D139" s="5" t="n">
        <v>6</v>
      </c>
      <c r="E139" s="5" t="inlineStr">
        <is>
          <t>Inicial</t>
        </is>
      </c>
      <c r="F139" s="5" t="inlineStr">
        <is>
          <t>I</t>
        </is>
      </c>
      <c r="G139" s="5" t="inlineStr">
        <is>
          <t>existe Agenda de ARR, conforme determinado no Decreto nº 10.411, de 2020.</t>
        </is>
      </c>
      <c r="H139" s="6" t="n"/>
      <c r="I139" s="6" t="n"/>
      <c r="J139" s="6" t="n"/>
      <c r="K139" s="6" t="inlineStr">
        <is>
          <t>pendente</t>
        </is>
      </c>
      <c r="L139" s="6" t="n"/>
      <c r="M139" s="5">
        <f>IF(H139="SIM",1,0)</f>
        <v/>
      </c>
      <c r="N139" s="5">
        <f>IF(AND(H139="SIM",K139="validado",I139&lt;&gt;""),1,0)</f>
        <v/>
      </c>
    </row>
    <row r="140">
      <c r="A140" s="5" t="inlineStr">
        <is>
          <t>ANVISA</t>
        </is>
      </c>
      <c r="B140" s="5" t="inlineStr">
        <is>
          <t>ARR_MET.MC.II</t>
        </is>
      </c>
      <c r="C140" s="5" t="inlineStr">
        <is>
          <t>ARR_MET</t>
        </is>
      </c>
      <c r="D140" s="5" t="n">
        <v>6</v>
      </c>
      <c r="E140" s="5" t="inlineStr">
        <is>
          <t>Melhoria Contínua</t>
        </is>
      </c>
      <c r="F140" s="5" t="inlineStr">
        <is>
          <t>II</t>
        </is>
      </c>
      <c r="G140" s="5" t="inlineStr">
        <is>
          <t>Existência de Agenda de ARR integrada com a Agenda Regulatória.</t>
        </is>
      </c>
      <c r="H140" s="6" t="n"/>
      <c r="I140" s="6" t="n"/>
      <c r="J140" s="6" t="n"/>
      <c r="K140" s="6" t="inlineStr">
        <is>
          <t>pendente</t>
        </is>
      </c>
      <c r="L140" s="6" t="n"/>
      <c r="M140" s="5">
        <f>IF(H140="SIM",1,0)</f>
        <v/>
      </c>
      <c r="N140" s="5">
        <f>IF(AND(H140="SIM",K140="validado",I140&lt;&gt;""),1,0)</f>
        <v/>
      </c>
    </row>
    <row r="141">
      <c r="A141" s="5" t="inlineStr">
        <is>
          <t>ANVISA</t>
        </is>
      </c>
      <c r="B141" s="5" t="inlineStr">
        <is>
          <t>ARR_MET.GER.II</t>
        </is>
      </c>
      <c r="C141" s="5" t="inlineStr">
        <is>
          <t>ARR_MET</t>
        </is>
      </c>
      <c r="D141" s="5" t="n">
        <v>6</v>
      </c>
      <c r="E141" s="5" t="inlineStr">
        <is>
          <t>Gerenciado</t>
        </is>
      </c>
      <c r="F141" s="5" t="inlineStr">
        <is>
          <t>II</t>
        </is>
      </c>
      <c r="G141" s="5" t="inlineStr">
        <is>
          <t>Metodologia de elaboração da Agenda de ARR contempla participação social.</t>
        </is>
      </c>
      <c r="H141" s="6" t="n"/>
      <c r="I141" s="6" t="n"/>
      <c r="J141" s="6" t="n"/>
      <c r="K141" s="6" t="inlineStr">
        <is>
          <t>pendente</t>
        </is>
      </c>
      <c r="L141" s="6" t="n"/>
      <c r="M141" s="5">
        <f>IF(H141="SIM",1,0)</f>
        <v/>
      </c>
      <c r="N141" s="5">
        <f>IF(AND(H141="SIM",K141="validado",I141&lt;&gt;""),1,0)</f>
        <v/>
      </c>
    </row>
    <row r="142">
      <c r="A142" s="5" t="inlineStr">
        <is>
          <t>ANVISA</t>
        </is>
      </c>
      <c r="B142" s="5" t="inlineStr">
        <is>
          <t>ARR_PRO.MC.I</t>
        </is>
      </c>
      <c r="C142" s="5" t="inlineStr">
        <is>
          <t>ARR_PRO</t>
        </is>
      </c>
      <c r="D142" s="5" t="n">
        <v>6</v>
      </c>
      <c r="E142" s="5" t="inlineStr">
        <is>
          <t>Melhoria Contínua</t>
        </is>
      </c>
      <c r="F142" s="5" t="inlineStr">
        <is>
          <t>I</t>
        </is>
      </c>
      <c r="G142" s="5" t="inlineStr">
        <is>
          <t>Há processo contínuo de avaliação e melhoria do processo de elaboração de ARR;</t>
        </is>
      </c>
      <c r="H142" s="6" t="n"/>
      <c r="I142" s="6" t="n"/>
      <c r="J142" s="6" t="n"/>
      <c r="K142" s="6" t="inlineStr">
        <is>
          <t>pendente</t>
        </is>
      </c>
      <c r="L142" s="6" t="n"/>
      <c r="M142" s="5">
        <f>IF(H142="SIM",1,0)</f>
        <v/>
      </c>
      <c r="N142" s="5">
        <f>IF(AND(H142="SIM",K142="validado",I142&lt;&gt;""),1,0)</f>
        <v/>
      </c>
    </row>
    <row r="143">
      <c r="A143" s="5" t="inlineStr">
        <is>
          <t>ANVISA</t>
        </is>
      </c>
      <c r="B143" s="5" t="inlineStr">
        <is>
          <t>ARR_PRO.GER.I</t>
        </is>
      </c>
      <c r="C143" s="5" t="inlineStr">
        <is>
          <t>ARR_PRO</t>
        </is>
      </c>
      <c r="D143" s="5" t="n">
        <v>6</v>
      </c>
      <c r="E143" s="5" t="inlineStr">
        <is>
          <t>Gerenciado</t>
        </is>
      </c>
      <c r="F143" s="5" t="inlineStr">
        <is>
          <t>I</t>
        </is>
      </c>
      <c r="G143" s="5" t="inlineStr">
        <is>
          <t>ARR é realizada conforme manual ou ato normativo;</t>
        </is>
      </c>
      <c r="H143" s="6" t="n"/>
      <c r="I143" s="6" t="n"/>
      <c r="J143" s="6" t="n"/>
      <c r="K143" s="6" t="inlineStr">
        <is>
          <t>pendente</t>
        </is>
      </c>
      <c r="L143" s="6" t="n"/>
      <c r="M143" s="5">
        <f>IF(H143="SIM",1,0)</f>
        <v/>
      </c>
      <c r="N143" s="5">
        <f>IF(AND(H143="SIM",K143="validado",I143&lt;&gt;""),1,0)</f>
        <v/>
      </c>
    </row>
    <row r="144">
      <c r="A144" s="5" t="inlineStr">
        <is>
          <t>ANVISA</t>
        </is>
      </c>
      <c r="B144" s="5" t="inlineStr">
        <is>
          <t>ARR_PRO.INI.I</t>
        </is>
      </c>
      <c r="C144" s="5" t="inlineStr">
        <is>
          <t>ARR_PRO</t>
        </is>
      </c>
      <c r="D144" s="5" t="n">
        <v>6</v>
      </c>
      <c r="E144" s="5" t="inlineStr">
        <is>
          <t>Inicial</t>
        </is>
      </c>
      <c r="F144" s="5" t="inlineStr">
        <is>
          <t>I</t>
        </is>
      </c>
      <c r="G144" s="5" t="inlineStr">
        <is>
          <t>Todas as ARRs são publicadas e acessíveis ao público na internet;</t>
        </is>
      </c>
      <c r="H144" s="6" t="n"/>
      <c r="I144" s="6" t="n"/>
      <c r="J144" s="6" t="n"/>
      <c r="K144" s="6" t="inlineStr">
        <is>
          <t>pendente</t>
        </is>
      </c>
      <c r="L144" s="6" t="n"/>
      <c r="M144" s="5">
        <f>IF(H144="SIM",1,0)</f>
        <v/>
      </c>
      <c r="N144" s="5">
        <f>IF(AND(H144="SIM",K144="validado",I144&lt;&gt;""),1,0)</f>
        <v/>
      </c>
    </row>
    <row r="145">
      <c r="A145" s="5" t="inlineStr">
        <is>
          <t>ANVISA</t>
        </is>
      </c>
      <c r="B145" s="5" t="inlineStr">
        <is>
          <t>ARR_PRO.MC.II</t>
        </is>
      </c>
      <c r="C145" s="5" t="inlineStr">
        <is>
          <t>ARR_PRO</t>
        </is>
      </c>
      <c r="D145" s="5" t="n">
        <v>6</v>
      </c>
      <c r="E145" s="5" t="inlineStr">
        <is>
          <t>Melhoria Contínua</t>
        </is>
      </c>
      <c r="F145" s="5" t="inlineStr">
        <is>
          <t>II</t>
        </is>
      </c>
      <c r="G145" s="5" t="inlineStr">
        <is>
          <t>A execução da Agenda de ARR é periodicamente monitorada e divulgada.</t>
        </is>
      </c>
      <c r="H145" s="6" t="n"/>
      <c r="I145" s="6" t="n"/>
      <c r="J145" s="6" t="n"/>
      <c r="K145" s="6" t="inlineStr">
        <is>
          <t>pendente</t>
        </is>
      </c>
      <c r="L145" s="6" t="n"/>
      <c r="M145" s="5">
        <f>IF(H145="SIM",1,0)</f>
        <v/>
      </c>
      <c r="N145" s="5">
        <f>IF(AND(H145="SIM",K145="validado",I145&lt;&gt;""),1,0)</f>
        <v/>
      </c>
    </row>
    <row r="146">
      <c r="A146" s="5" t="inlineStr">
        <is>
          <t>ANVISA</t>
        </is>
      </c>
      <c r="B146" s="5" t="inlineStr">
        <is>
          <t>ARR_PRO.GER.II</t>
        </is>
      </c>
      <c r="C146" s="5" t="inlineStr">
        <is>
          <t>ARR_PRO</t>
        </is>
      </c>
      <c r="D146" s="5" t="n">
        <v>6</v>
      </c>
      <c r="E146" s="5" t="inlineStr">
        <is>
          <t>Gerenciado</t>
        </is>
      </c>
      <c r="F146" s="5" t="inlineStr">
        <is>
          <t>II</t>
        </is>
      </c>
      <c r="G146" s="5" t="inlineStr">
        <is>
          <t>ARRs de alto impacto/alta complexidade foram submetidas à participação social.</t>
        </is>
      </c>
      <c r="H146" s="6" t="n"/>
      <c r="I146" s="6" t="n"/>
      <c r="J146" s="6" t="n"/>
      <c r="K146" s="6" t="inlineStr">
        <is>
          <t>pendente</t>
        </is>
      </c>
      <c r="L146" s="6" t="n"/>
      <c r="M146" s="5">
        <f>IF(H146="SIM",1,0)</f>
        <v/>
      </c>
      <c r="N146" s="5">
        <f>IF(AND(H146="SIM",K146="validado",I146&lt;&gt;""),1,0)</f>
        <v/>
      </c>
    </row>
    <row r="147">
      <c r="A147" s="5" t="inlineStr">
        <is>
          <t>ANVISA</t>
        </is>
      </c>
      <c r="B147" s="5" t="inlineStr">
        <is>
          <t>ARR_PRO.INI.II</t>
        </is>
      </c>
      <c r="C147" s="5" t="inlineStr">
        <is>
          <t>ARR_PRO</t>
        </is>
      </c>
      <c r="D147" s="5" t="n">
        <v>6</v>
      </c>
      <c r="E147" s="5" t="inlineStr">
        <is>
          <t>Inicial</t>
        </is>
      </c>
      <c r="F147" s="5" t="inlineStr">
        <is>
          <t>II</t>
        </is>
      </c>
      <c r="G147" s="5" t="inlineStr">
        <is>
          <t>A agenda de ARR está publicada no site do órgão.</t>
        </is>
      </c>
      <c r="H147" s="6" t="n"/>
      <c r="I147" s="6" t="n"/>
      <c r="J147" s="6" t="n"/>
      <c r="K147" s="6" t="inlineStr">
        <is>
          <t>pendente</t>
        </is>
      </c>
      <c r="L147" s="6" t="n"/>
      <c r="M147" s="5">
        <f>IF(H147="SIM",1,0)</f>
        <v/>
      </c>
      <c r="N147" s="5">
        <f>IF(AND(H147="SIM",K147="validado",I147&lt;&gt;""),1,0)</f>
        <v/>
      </c>
    </row>
    <row r="148">
      <c r="A148" s="5" t="inlineStr">
        <is>
          <t>ANEEL</t>
        </is>
      </c>
      <c r="B148" s="5" t="inlineStr">
        <is>
          <t>AIR_CAP.MC.I</t>
        </is>
      </c>
      <c r="C148" s="5" t="inlineStr">
        <is>
          <t>AIR_CAP</t>
        </is>
      </c>
      <c r="D148" s="5" t="n">
        <v>1</v>
      </c>
      <c r="E148" s="5" t="inlineStr">
        <is>
          <t>Melhoria Contínua</t>
        </is>
      </c>
      <c r="F148" s="5" t="inlineStr">
        <is>
          <t>I</t>
        </is>
      </c>
      <c r="G148" s="5" t="inlineStr">
        <is>
          <t>Plano de capacitação formalizado e em execução, incluindo permanente reciclagem em técnicas de AIR;</t>
        </is>
      </c>
      <c r="H148" s="6" t="n"/>
      <c r="I148" s="6" t="n"/>
      <c r="J148" s="6" t="n"/>
      <c r="K148" s="6" t="inlineStr">
        <is>
          <t>pendente</t>
        </is>
      </c>
      <c r="L148" s="6" t="n"/>
      <c r="M148" s="5">
        <f>IF(H148="SIM",1,0)</f>
        <v/>
      </c>
      <c r="N148" s="5">
        <f>IF(AND(H148="SIM",K148="validado",I148&lt;&gt;""),1,0)</f>
        <v/>
      </c>
    </row>
    <row r="149">
      <c r="A149" s="5" t="inlineStr">
        <is>
          <t>ANEEL</t>
        </is>
      </c>
      <c r="B149" s="5" t="inlineStr">
        <is>
          <t>AIR_CAP.GER.I</t>
        </is>
      </c>
      <c r="C149" s="5" t="inlineStr">
        <is>
          <t>AIR_CAP</t>
        </is>
      </c>
      <c r="D149" s="5" t="n">
        <v>1</v>
      </c>
      <c r="E149" s="5" t="inlineStr">
        <is>
          <t>Gerenciado</t>
        </is>
      </c>
      <c r="F149" s="5" t="inlineStr">
        <is>
          <t>I</t>
        </is>
      </c>
      <c r="G149" s="5" t="inlineStr">
        <is>
          <t>Capacitações em AIR estão institucionalizadas, sem um plano formalizado;</t>
        </is>
      </c>
      <c r="H149" s="6" t="n"/>
      <c r="I149" s="6" t="n"/>
      <c r="J149" s="6" t="n"/>
      <c r="K149" s="6" t="inlineStr">
        <is>
          <t>pendente</t>
        </is>
      </c>
      <c r="L149" s="6" t="n"/>
      <c r="M149" s="5">
        <f>IF(H149="SIM",1,0)</f>
        <v/>
      </c>
      <c r="N149" s="5">
        <f>IF(AND(H149="SIM",K149="validado",I149&lt;&gt;""),1,0)</f>
        <v/>
      </c>
    </row>
    <row r="150">
      <c r="A150" s="5" t="inlineStr">
        <is>
          <t>ANEEL</t>
        </is>
      </c>
      <c r="B150" s="5" t="inlineStr">
        <is>
          <t>AIR_CAP.INI.I</t>
        </is>
      </c>
      <c r="C150" s="5" t="inlineStr">
        <is>
          <t>AIR_CAP</t>
        </is>
      </c>
      <c r="D150" s="5" t="n">
        <v>1</v>
      </c>
      <c r="E150" s="5" t="inlineStr">
        <is>
          <t>Inicial</t>
        </is>
      </c>
      <c r="F150" s="5" t="inlineStr">
        <is>
          <t>I</t>
        </is>
      </c>
      <c r="G150" s="5" t="inlineStr">
        <is>
          <t>Capacitações em AIR não estão institucionalizadas;</t>
        </is>
      </c>
      <c r="H150" s="6" t="n"/>
      <c r="I150" s="6" t="n"/>
      <c r="J150" s="6" t="n"/>
      <c r="K150" s="6" t="inlineStr">
        <is>
          <t>pendente</t>
        </is>
      </c>
      <c r="L150" s="6" t="n"/>
      <c r="M150" s="5">
        <f>IF(H150="SIM",1,0)</f>
        <v/>
      </c>
      <c r="N150" s="5">
        <f>IF(AND(H150="SIM",K150="validado",I150&lt;&gt;""),1,0)</f>
        <v/>
      </c>
    </row>
    <row r="151">
      <c r="A151" s="5" t="inlineStr">
        <is>
          <t>ANEEL</t>
        </is>
      </c>
      <c r="B151" s="5" t="inlineStr">
        <is>
          <t>AIR_CAP.MC.II</t>
        </is>
      </c>
      <c r="C151" s="5" t="inlineStr">
        <is>
          <t>AIR_CAP</t>
        </is>
      </c>
      <c r="D151" s="5" t="n">
        <v>1</v>
      </c>
      <c r="E151" s="5" t="inlineStr">
        <is>
          <t>Melhoria Contínua</t>
        </is>
      </c>
      <c r="F151" s="5" t="inlineStr">
        <is>
          <t>II</t>
        </is>
      </c>
      <c r="G151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151" s="6" t="n"/>
      <c r="I151" s="6" t="n"/>
      <c r="J151" s="6" t="n"/>
      <c r="K151" s="6" t="inlineStr">
        <is>
          <t>pendente</t>
        </is>
      </c>
      <c r="L151" s="6" t="n"/>
      <c r="M151" s="5">
        <f>IF(H151="SIM",1,0)</f>
        <v/>
      </c>
      <c r="N151" s="5">
        <f>IF(AND(H151="SIM",K151="validado",I151&lt;&gt;""),1,0)</f>
        <v/>
      </c>
    </row>
    <row r="152">
      <c r="A152" s="5" t="inlineStr">
        <is>
          <t>ANEEL</t>
        </is>
      </c>
      <c r="B152" s="5" t="inlineStr">
        <is>
          <t>AIR_CAP.GER.II</t>
        </is>
      </c>
      <c r="C152" s="5" t="inlineStr">
        <is>
          <t>AIR_CAP</t>
        </is>
      </c>
      <c r="D152" s="5" t="n">
        <v>1</v>
      </c>
      <c r="E152" s="5" t="inlineStr">
        <is>
          <t>Gerenciado</t>
        </is>
      </c>
      <c r="F152" s="5" t="inlineStr">
        <is>
          <t>II</t>
        </is>
      </c>
      <c r="G152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152" s="6" t="n"/>
      <c r="I152" s="6" t="n"/>
      <c r="J152" s="6" t="n"/>
      <c r="K152" s="6" t="inlineStr">
        <is>
          <t>pendente</t>
        </is>
      </c>
      <c r="L152" s="6" t="n"/>
      <c r="M152" s="5">
        <f>IF(H152="SIM",1,0)</f>
        <v/>
      </c>
      <c r="N152" s="5">
        <f>IF(AND(H152="SIM",K152="validado",I152&lt;&gt;""),1,0)</f>
        <v/>
      </c>
    </row>
    <row r="153">
      <c r="A153" s="5" t="inlineStr">
        <is>
          <t>ANEEL</t>
        </is>
      </c>
      <c r="B153" s="5" t="inlineStr">
        <is>
          <t>AIR_CAP.INI.II</t>
        </is>
      </c>
      <c r="C153" s="5" t="inlineStr">
        <is>
          <t>AIR_CAP</t>
        </is>
      </c>
      <c r="D153" s="5" t="n">
        <v>1</v>
      </c>
      <c r="E153" s="5" t="inlineStr">
        <is>
          <t>Inicial</t>
        </is>
      </c>
      <c r="F153" s="5" t="inlineStr">
        <is>
          <t>II</t>
        </is>
      </c>
      <c r="G153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153" s="6" t="n"/>
      <c r="I153" s="6" t="n"/>
      <c r="J153" s="6" t="n"/>
      <c r="K153" s="6" t="inlineStr">
        <is>
          <t>pendente</t>
        </is>
      </c>
      <c r="L153" s="6" t="n"/>
      <c r="M153" s="5">
        <f>IF(H153="SIM",1,0)</f>
        <v/>
      </c>
      <c r="N153" s="5">
        <f>IF(AND(H153="SIM",K153="validado",I153&lt;&gt;""),1,0)</f>
        <v/>
      </c>
    </row>
    <row r="154">
      <c r="A154" s="5" t="inlineStr">
        <is>
          <t>ANEEL</t>
        </is>
      </c>
      <c r="B154" s="5" t="inlineStr">
        <is>
          <t>AIR_CAP.MC.III</t>
        </is>
      </c>
      <c r="C154" s="5" t="inlineStr">
        <is>
          <t>AIR_CAP</t>
        </is>
      </c>
      <c r="D154" s="5" t="n">
        <v>1</v>
      </c>
      <c r="E154" s="5" t="inlineStr">
        <is>
          <t>Melhoria Contínua</t>
        </is>
      </c>
      <c r="F154" s="5" t="inlineStr">
        <is>
          <t>III</t>
        </is>
      </c>
      <c r="G154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54" s="6" t="n"/>
      <c r="I154" s="6" t="n"/>
      <c r="J154" s="6" t="n"/>
      <c r="K154" s="6" t="inlineStr">
        <is>
          <t>pendente</t>
        </is>
      </c>
      <c r="L154" s="6" t="n"/>
      <c r="M154" s="5">
        <f>IF(H154="SIM",1,0)</f>
        <v/>
      </c>
      <c r="N154" s="5">
        <f>IF(AND(H154="SIM",K154="validado",I154&lt;&gt;""),1,0)</f>
        <v/>
      </c>
    </row>
    <row r="155">
      <c r="A155" s="5" t="inlineStr">
        <is>
          <t>ANEEL</t>
        </is>
      </c>
      <c r="B155" s="5" t="inlineStr">
        <is>
          <t>AIR_CAP.GER.III</t>
        </is>
      </c>
      <c r="C155" s="5" t="inlineStr">
        <is>
          <t>AIR_CAP</t>
        </is>
      </c>
      <c r="D155" s="5" t="n">
        <v>1</v>
      </c>
      <c r="E155" s="5" t="inlineStr">
        <is>
          <t>Gerenciado</t>
        </is>
      </c>
      <c r="F155" s="5" t="inlineStr">
        <is>
          <t>III</t>
        </is>
      </c>
      <c r="G155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155" s="6" t="n"/>
      <c r="I155" s="6" t="n"/>
      <c r="J155" s="6" t="n"/>
      <c r="K155" s="6" t="inlineStr">
        <is>
          <t>pendente</t>
        </is>
      </c>
      <c r="L155" s="6" t="n"/>
      <c r="M155" s="5">
        <f>IF(H155="SIM",1,0)</f>
        <v/>
      </c>
      <c r="N155" s="5">
        <f>IF(AND(H155="SIM",K155="validado",I155&lt;&gt;""),1,0)</f>
        <v/>
      </c>
    </row>
    <row r="156">
      <c r="A156" s="5" t="inlineStr">
        <is>
          <t>ANEEL</t>
        </is>
      </c>
      <c r="B156" s="5" t="inlineStr">
        <is>
          <t>AIR_CAP.INI.III</t>
        </is>
      </c>
      <c r="C156" s="5" t="inlineStr">
        <is>
          <t>AIR_CAP</t>
        </is>
      </c>
      <c r="D156" s="5" t="n">
        <v>1</v>
      </c>
      <c r="E156" s="5" t="inlineStr">
        <is>
          <t>Inicial</t>
        </is>
      </c>
      <c r="F156" s="5" t="inlineStr">
        <is>
          <t>III</t>
        </is>
      </c>
      <c r="G156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156" s="6" t="n"/>
      <c r="I156" s="6" t="n"/>
      <c r="J156" s="6" t="n"/>
      <c r="K156" s="6" t="inlineStr">
        <is>
          <t>pendente</t>
        </is>
      </c>
      <c r="L156" s="6" t="n"/>
      <c r="M156" s="5">
        <f>IF(H156="SIM",1,0)</f>
        <v/>
      </c>
      <c r="N156" s="5">
        <f>IF(AND(H156="SIM",K156="validado",I156&lt;&gt;""),1,0)</f>
        <v/>
      </c>
    </row>
    <row r="157">
      <c r="A157" s="5" t="inlineStr">
        <is>
          <t>ANEEL</t>
        </is>
      </c>
      <c r="B157" s="5" t="inlineStr">
        <is>
          <t>AIR_CAP.GER.IV</t>
        </is>
      </c>
      <c r="C157" s="5" t="inlineStr">
        <is>
          <t>AIR_CAP</t>
        </is>
      </c>
      <c r="D157" s="5" t="n">
        <v>1</v>
      </c>
      <c r="E157" s="5" t="inlineStr">
        <is>
          <t>Gerenciado</t>
        </is>
      </c>
      <c r="F157" s="5" t="inlineStr">
        <is>
          <t>IV</t>
        </is>
      </c>
      <c r="G157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157" s="6" t="n"/>
      <c r="I157" s="6" t="n"/>
      <c r="J157" s="6" t="n"/>
      <c r="K157" s="6" t="inlineStr">
        <is>
          <t>pendente</t>
        </is>
      </c>
      <c r="L157" s="6" t="n"/>
      <c r="M157" s="5">
        <f>IF(H157="SIM",1,0)</f>
        <v/>
      </c>
      <c r="N157" s="5">
        <f>IF(AND(H157="SIM",K157="validado",I157&lt;&gt;""),1,0)</f>
        <v/>
      </c>
    </row>
    <row r="158">
      <c r="A158" s="5" t="inlineStr">
        <is>
          <t>ANEEL</t>
        </is>
      </c>
      <c r="B158" s="5" t="inlineStr">
        <is>
          <t>AIR_MET.MC.I</t>
        </is>
      </c>
      <c r="C158" s="5" t="inlineStr">
        <is>
          <t>AIR_MET</t>
        </is>
      </c>
      <c r="D158" s="5" t="n">
        <v>1</v>
      </c>
      <c r="E158" s="5" t="inlineStr">
        <is>
          <t>Melhoria Contínua</t>
        </is>
      </c>
      <c r="F158" s="5" t="inlineStr">
        <is>
          <t>I</t>
        </is>
      </c>
      <c r="G158" s="5" t="inlineStr">
        <is>
          <t>Critérios objetivos estabelecidos para classificação quanto ao nível de impacto e complexidade da AIR;</t>
        </is>
      </c>
      <c r="H158" s="6" t="n"/>
      <c r="I158" s="6" t="n"/>
      <c r="J158" s="6" t="n"/>
      <c r="K158" s="6" t="inlineStr">
        <is>
          <t>pendente</t>
        </is>
      </c>
      <c r="L158" s="6" t="n"/>
      <c r="M158" s="5">
        <f>IF(H158="SIM",1,0)</f>
        <v/>
      </c>
      <c r="N158" s="5">
        <f>IF(AND(H158="SIM",K158="validado",I158&lt;&gt;""),1,0)</f>
        <v/>
      </c>
    </row>
    <row r="159">
      <c r="A159" s="5" t="inlineStr">
        <is>
          <t>ANEEL</t>
        </is>
      </c>
      <c r="B159" s="5" t="inlineStr">
        <is>
          <t>AIR_MET.GER.I</t>
        </is>
      </c>
      <c r="C159" s="5" t="inlineStr">
        <is>
          <t>AIR_MET</t>
        </is>
      </c>
      <c r="D159" s="5" t="n">
        <v>1</v>
      </c>
      <c r="E159" s="5" t="inlineStr">
        <is>
          <t>Gerenciado</t>
        </is>
      </c>
      <c r="F159" s="5" t="inlineStr">
        <is>
          <t>I</t>
        </is>
      </c>
      <c r="G159" s="5" t="inlineStr">
        <is>
          <t>Existência de manual ou ato normativo interno instituindo a aplicabilidade institucional da AIR;</t>
        </is>
      </c>
      <c r="H159" s="6" t="n"/>
      <c r="I159" s="6" t="n"/>
      <c r="J159" s="6" t="n"/>
      <c r="K159" s="6" t="inlineStr">
        <is>
          <t>pendente</t>
        </is>
      </c>
      <c r="L159" s="6" t="n"/>
      <c r="M159" s="5">
        <f>IF(H159="SIM",1,0)</f>
        <v/>
      </c>
      <c r="N159" s="5">
        <f>IF(AND(H159="SIM",K159="validado",I159&lt;&gt;""),1,0)</f>
        <v/>
      </c>
    </row>
    <row r="160">
      <c r="A160" s="5" t="inlineStr">
        <is>
          <t>ANEEL</t>
        </is>
      </c>
      <c r="B160" s="5" t="inlineStr">
        <is>
          <t>AIR_MET.INI.I</t>
        </is>
      </c>
      <c r="C160" s="5" t="inlineStr">
        <is>
          <t>AIR_MET</t>
        </is>
      </c>
      <c r="D160" s="5" t="n">
        <v>1</v>
      </c>
      <c r="E160" s="5" t="inlineStr">
        <is>
          <t>Inicial</t>
        </is>
      </c>
      <c r="F160" s="5" t="inlineStr">
        <is>
          <t>I</t>
        </is>
      </c>
      <c r="G160" s="5" t="inlineStr">
        <is>
          <t>houve a publicação de normativo interno dispondo sobre a aplicação da AIR na instituição, conforme Decreto nº 10.411, de 2020.</t>
        </is>
      </c>
      <c r="H160" s="6" t="n"/>
      <c r="I160" s="6" t="n"/>
      <c r="J160" s="6" t="n"/>
      <c r="K160" s="6" t="inlineStr">
        <is>
          <t>pendente</t>
        </is>
      </c>
      <c r="L160" s="6" t="n"/>
      <c r="M160" s="5">
        <f>IF(H160="SIM",1,0)</f>
        <v/>
      </c>
      <c r="N160" s="5">
        <f>IF(AND(H160="SIM",K160="validado",I160&lt;&gt;""),1,0)</f>
        <v/>
      </c>
    </row>
    <row r="161">
      <c r="A161" s="5" t="inlineStr">
        <is>
          <t>ANEEL</t>
        </is>
      </c>
      <c r="B161" s="5" t="inlineStr">
        <is>
          <t>AIR_MET.MC.II</t>
        </is>
      </c>
      <c r="C161" s="5" t="inlineStr">
        <is>
          <t>AIR_MET</t>
        </is>
      </c>
      <c r="D161" s="5" t="n">
        <v>1</v>
      </c>
      <c r="E161" s="5" t="inlineStr">
        <is>
          <t>Melhoria Contínua</t>
        </is>
      </c>
      <c r="F161" s="5" t="inlineStr">
        <is>
          <t>II</t>
        </is>
      </c>
      <c r="G161" s="5" t="inlineStr">
        <is>
          <t>Metodologia contempla participação social prévia e posterior à elaboração da AIR, conforme complexidade do ato.</t>
        </is>
      </c>
      <c r="H161" s="6" t="n"/>
      <c r="I161" s="6" t="n"/>
      <c r="J161" s="6" t="n"/>
      <c r="K161" s="6" t="inlineStr">
        <is>
          <t>pendente</t>
        </is>
      </c>
      <c r="L161" s="6" t="n"/>
      <c r="M161" s="5">
        <f>IF(H161="SIM",1,0)</f>
        <v/>
      </c>
      <c r="N161" s="5">
        <f>IF(AND(H161="SIM",K161="validado",I161&lt;&gt;""),1,0)</f>
        <v/>
      </c>
    </row>
    <row r="162">
      <c r="A162" s="5" t="inlineStr">
        <is>
          <t>ANEEL</t>
        </is>
      </c>
      <c r="B162" s="5" t="inlineStr">
        <is>
          <t>AIR_MET.GER.II</t>
        </is>
      </c>
      <c r="C162" s="5" t="inlineStr">
        <is>
          <t>AIR_MET</t>
        </is>
      </c>
      <c r="D162" s="5" t="n">
        <v>1</v>
      </c>
      <c r="E162" s="5" t="inlineStr">
        <is>
          <t>Gerenciado</t>
        </is>
      </c>
      <c r="F162" s="5" t="inlineStr">
        <is>
          <t>II</t>
        </is>
      </c>
      <c r="G162" s="5" t="inlineStr">
        <is>
          <t>Existência de manual ou ato normativo dispondo sobre a participação social posterior relativa à AIR.</t>
        </is>
      </c>
      <c r="H162" s="6" t="n"/>
      <c r="I162" s="6" t="n"/>
      <c r="J162" s="6" t="n"/>
      <c r="K162" s="6" t="inlineStr">
        <is>
          <t>pendente</t>
        </is>
      </c>
      <c r="L162" s="6" t="n"/>
      <c r="M162" s="5">
        <f>IF(H162="SIM",1,0)</f>
        <v/>
      </c>
      <c r="N162" s="5">
        <f>IF(AND(H162="SIM",K162="validado",I162&lt;&gt;""),1,0)</f>
        <v/>
      </c>
    </row>
    <row r="163">
      <c r="A163" s="5" t="inlineStr">
        <is>
          <t>ANEEL</t>
        </is>
      </c>
      <c r="B163" s="5" t="inlineStr">
        <is>
          <t>AIR_PRO.MC.I</t>
        </is>
      </c>
      <c r="C163" s="5" t="inlineStr">
        <is>
          <t>AIR_PRO</t>
        </is>
      </c>
      <c r="D163" s="5" t="n">
        <v>1</v>
      </c>
      <c r="E163" s="5" t="inlineStr">
        <is>
          <t>Melhoria Contínua</t>
        </is>
      </c>
      <c r="F163" s="5" t="inlineStr">
        <is>
          <t>I</t>
        </is>
      </c>
      <c r="G163" s="5" t="inlineStr">
        <is>
          <t>Há processo contínuo de avaliação e melhoria do processo de elaboração de AIR;</t>
        </is>
      </c>
      <c r="H163" s="6" t="n"/>
      <c r="I163" s="6" t="n"/>
      <c r="J163" s="6" t="n"/>
      <c r="K163" s="6" t="inlineStr">
        <is>
          <t>pendente</t>
        </is>
      </c>
      <c r="L163" s="6" t="n"/>
      <c r="M163" s="5">
        <f>IF(H163="SIM",1,0)</f>
        <v/>
      </c>
      <c r="N163" s="5">
        <f>IF(AND(H163="SIM",K163="validado",I163&lt;&gt;""),1,0)</f>
        <v/>
      </c>
    </row>
    <row r="164">
      <c r="A164" s="5" t="inlineStr">
        <is>
          <t>ANEEL</t>
        </is>
      </c>
      <c r="B164" s="5" t="inlineStr">
        <is>
          <t>AIR_PRO.GER.I</t>
        </is>
      </c>
      <c r="C164" s="5" t="inlineStr">
        <is>
          <t>AIR_PRO</t>
        </is>
      </c>
      <c r="D164" s="5" t="n">
        <v>1</v>
      </c>
      <c r="E164" s="5" t="inlineStr">
        <is>
          <t>Gerenciado</t>
        </is>
      </c>
      <c r="F164" s="5" t="inlineStr">
        <is>
          <t>I</t>
        </is>
      </c>
      <c r="G164" s="5" t="inlineStr">
        <is>
          <t>Todas as AIRs são sempre realizadas conforme manual ou ato normativo interno e publicadas e acessíveis ao público na internet;</t>
        </is>
      </c>
      <c r="H164" s="6" t="n"/>
      <c r="I164" s="6" t="n"/>
      <c r="J164" s="6" t="n"/>
      <c r="K164" s="6" t="inlineStr">
        <is>
          <t>pendente</t>
        </is>
      </c>
      <c r="L164" s="6" t="n"/>
      <c r="M164" s="5">
        <f>IF(H164="SIM",1,0)</f>
        <v/>
      </c>
      <c r="N164" s="5">
        <f>IF(AND(H164="SIM",K164="validado",I164&lt;&gt;""),1,0)</f>
        <v/>
      </c>
    </row>
    <row r="165">
      <c r="A165" s="5" t="inlineStr">
        <is>
          <t>ANEEL</t>
        </is>
      </c>
      <c r="B165" s="5" t="inlineStr">
        <is>
          <t>AIR_PRO.INI.I</t>
        </is>
      </c>
      <c r="C165" s="5" t="inlineStr">
        <is>
          <t>AIR_PRO</t>
        </is>
      </c>
      <c r="D165" s="5" t="n">
        <v>1</v>
      </c>
      <c r="E165" s="5" t="inlineStr">
        <is>
          <t>Inicial</t>
        </is>
      </c>
      <c r="F165" s="5" t="inlineStr">
        <is>
          <t>I</t>
        </is>
      </c>
      <c r="G165" s="5" t="inlineStr">
        <is>
          <t>AIR é sempre realizada e a dispensa justificada, conforme critérios objetivos estabelecidos, conforme Decreto nº 10.411, de 2020;</t>
        </is>
      </c>
      <c r="H165" s="6" t="n"/>
      <c r="I165" s="6" t="n"/>
      <c r="J165" s="6" t="n"/>
      <c r="K165" s="6" t="inlineStr">
        <is>
          <t>pendente</t>
        </is>
      </c>
      <c r="L165" s="6" t="n"/>
      <c r="M165" s="5">
        <f>IF(H165="SIM",1,0)</f>
        <v/>
      </c>
      <c r="N165" s="5">
        <f>IF(AND(H165="SIM",K165="validado",I165&lt;&gt;""),1,0)</f>
        <v/>
      </c>
    </row>
    <row r="166">
      <c r="A166" s="5" t="inlineStr">
        <is>
          <t>ANEEL</t>
        </is>
      </c>
      <c r="B166" s="5" t="inlineStr">
        <is>
          <t>AIR_PRO.MC.II</t>
        </is>
      </c>
      <c r="C166" s="5" t="inlineStr">
        <is>
          <t>AIR_PRO</t>
        </is>
      </c>
      <c r="D166" s="5" t="n">
        <v>1</v>
      </c>
      <c r="E166" s="5" t="inlineStr">
        <is>
          <t>Melhoria Contínua</t>
        </is>
      </c>
      <c r="F166" s="5" t="inlineStr">
        <is>
          <t>II</t>
        </is>
      </c>
      <c r="G166" s="5" t="inlineStr">
        <is>
          <t>Existência de instrumento de avaliação de qualidade das AIRs realizadas;</t>
        </is>
      </c>
      <c r="H166" s="6" t="n"/>
      <c r="I166" s="6" t="n"/>
      <c r="J166" s="6" t="n"/>
      <c r="K166" s="6" t="inlineStr">
        <is>
          <t>pendente</t>
        </is>
      </c>
      <c r="L166" s="6" t="n"/>
      <c r="M166" s="5">
        <f>IF(H166="SIM",1,0)</f>
        <v/>
      </c>
      <c r="N166" s="5">
        <f>IF(AND(H166="SIM",K166="validado",I166&lt;&gt;""),1,0)</f>
        <v/>
      </c>
    </row>
    <row r="167">
      <c r="A167" s="5" t="inlineStr">
        <is>
          <t>ANEEL</t>
        </is>
      </c>
      <c r="B167" s="5" t="inlineStr">
        <is>
          <t>AIR_PRO.GER.II</t>
        </is>
      </c>
      <c r="C167" s="5" t="inlineStr">
        <is>
          <t>AIR_PRO</t>
        </is>
      </c>
      <c r="D167" s="5" t="n">
        <v>1</v>
      </c>
      <c r="E167" s="5" t="inlineStr">
        <is>
          <t>Gerenciado</t>
        </is>
      </c>
      <c r="F167" s="5" t="inlineStr">
        <is>
          <t>II</t>
        </is>
      </c>
      <c r="G167" s="5" t="inlineStr">
        <is>
          <t>O processo de elaboração de AIR está mapeado na instituição;</t>
        </is>
      </c>
      <c r="H167" s="6" t="n"/>
      <c r="I167" s="6" t="n"/>
      <c r="J167" s="6" t="n"/>
      <c r="K167" s="6" t="inlineStr">
        <is>
          <t>pendente</t>
        </is>
      </c>
      <c r="L167" s="6" t="n"/>
      <c r="M167" s="5">
        <f>IF(H167="SIM",1,0)</f>
        <v/>
      </c>
      <c r="N167" s="5">
        <f>IF(AND(H167="SIM",K167="validado",I167&lt;&gt;""),1,0)</f>
        <v/>
      </c>
    </row>
    <row r="168">
      <c r="A168" s="5" t="inlineStr">
        <is>
          <t>ANEEL</t>
        </is>
      </c>
      <c r="B168" s="5" t="inlineStr">
        <is>
          <t>AIR_PRO.INI.II</t>
        </is>
      </c>
      <c r="C168" s="5" t="inlineStr">
        <is>
          <t>AIR_PRO</t>
        </is>
      </c>
      <c r="D168" s="5" t="n">
        <v>1</v>
      </c>
      <c r="E168" s="5" t="inlineStr">
        <is>
          <t>Inicial</t>
        </is>
      </c>
      <c r="F168" s="5" t="inlineStr">
        <is>
          <t>II</t>
        </is>
      </c>
      <c r="G168" s="5" t="inlineStr">
        <is>
          <t>Todas as AIRs são publicadas e acessíveis ao público na internet;</t>
        </is>
      </c>
      <c r="H168" s="6" t="n"/>
      <c r="I168" s="6" t="n"/>
      <c r="J168" s="6" t="n"/>
      <c r="K168" s="6" t="inlineStr">
        <is>
          <t>pendente</t>
        </is>
      </c>
      <c r="L168" s="6" t="n"/>
      <c r="M168" s="5">
        <f>IF(H168="SIM",1,0)</f>
        <v/>
      </c>
      <c r="N168" s="5">
        <f>IF(AND(H168="SIM",K168="validado",I168&lt;&gt;""),1,0)</f>
        <v/>
      </c>
    </row>
    <row r="169">
      <c r="A169" s="5" t="inlineStr">
        <is>
          <t>ANEEL</t>
        </is>
      </c>
      <c r="B169" s="5" t="inlineStr">
        <is>
          <t>AIR_PRO.MC.III</t>
        </is>
      </c>
      <c r="C169" s="5" t="inlineStr">
        <is>
          <t>AIR_PRO</t>
        </is>
      </c>
      <c r="D169" s="5" t="n">
        <v>1</v>
      </c>
      <c r="E169" s="5" t="inlineStr">
        <is>
          <t>Melhoria Contínua</t>
        </is>
      </c>
      <c r="F169" s="5" t="inlineStr">
        <is>
          <t>III</t>
        </is>
      </c>
      <c r="G169" s="5" t="inlineStr">
        <is>
          <t>As AIRs de alto impacto/alta complexidade são submetidas à participação social prévia e posterior.</t>
        </is>
      </c>
      <c r="H169" s="6" t="n"/>
      <c r="I169" s="6" t="n"/>
      <c r="J169" s="6" t="n"/>
      <c r="K169" s="6" t="inlineStr">
        <is>
          <t>pendente</t>
        </is>
      </c>
      <c r="L169" s="6" t="n"/>
      <c r="M169" s="5">
        <f>IF(H169="SIM",1,0)</f>
        <v/>
      </c>
      <c r="N169" s="5">
        <f>IF(AND(H169="SIM",K169="validado",I169&lt;&gt;""),1,0)</f>
        <v/>
      </c>
    </row>
    <row r="170">
      <c r="A170" s="5" t="inlineStr">
        <is>
          <t>ANEEL</t>
        </is>
      </c>
      <c r="B170" s="5" t="inlineStr">
        <is>
          <t>AIR_PRO.GER.III</t>
        </is>
      </c>
      <c r="C170" s="5" t="inlineStr">
        <is>
          <t>AIR_PRO</t>
        </is>
      </c>
      <c r="D170" s="5" t="n">
        <v>1</v>
      </c>
      <c r="E170" s="5" t="inlineStr">
        <is>
          <t>Gerenciado</t>
        </is>
      </c>
      <c r="F170" s="5" t="inlineStr">
        <is>
          <t>III</t>
        </is>
      </c>
      <c r="G170" s="5" t="inlineStr">
        <is>
          <t>As AIRs são objeto de participação social posterior, conforme decisão técnica.</t>
        </is>
      </c>
      <c r="H170" s="6" t="n"/>
      <c r="I170" s="6" t="n"/>
      <c r="J170" s="6" t="n"/>
      <c r="K170" s="6" t="inlineStr">
        <is>
          <t>pendente</t>
        </is>
      </c>
      <c r="L170" s="6" t="n"/>
      <c r="M170" s="5">
        <f>IF(H170="SIM",1,0)</f>
        <v/>
      </c>
      <c r="N170" s="5">
        <f>IF(AND(H170="SIM",K170="validado",I170&lt;&gt;""),1,0)</f>
        <v/>
      </c>
    </row>
    <row r="171">
      <c r="A171" s="5" t="inlineStr">
        <is>
          <t>ANEEL</t>
        </is>
      </c>
      <c r="B171" s="5" t="inlineStr">
        <is>
          <t>AIR_PRO.INI.III</t>
        </is>
      </c>
      <c r="C171" s="5" t="inlineStr">
        <is>
          <t>AIR_PRO</t>
        </is>
      </c>
      <c r="D171" s="5" t="n">
        <v>1</v>
      </c>
      <c r="E171" s="5" t="inlineStr">
        <is>
          <t>Inicial</t>
        </is>
      </c>
      <c r="F171" s="5" t="inlineStr">
        <is>
          <t>III</t>
        </is>
      </c>
      <c r="G171" s="5" t="inlineStr">
        <is>
          <t>Participação Social é realizada, conforme Decreto nº 10.411, de 2020.</t>
        </is>
      </c>
      <c r="H171" s="6" t="n"/>
      <c r="I171" s="6" t="n"/>
      <c r="J171" s="6" t="n"/>
      <c r="K171" s="6" t="inlineStr">
        <is>
          <t>pendente</t>
        </is>
      </c>
      <c r="L171" s="6" t="n"/>
      <c r="M171" s="5">
        <f>IF(H171="SIM",1,0)</f>
        <v/>
      </c>
      <c r="N171" s="5">
        <f>IF(AND(H171="SIM",K171="validado",I171&lt;&gt;""),1,0)</f>
        <v/>
      </c>
    </row>
    <row r="172">
      <c r="A172" s="5" t="inlineStr">
        <is>
          <t>ANEEL</t>
        </is>
      </c>
      <c r="B172" s="5" t="inlineStr">
        <is>
          <t>PS.MC.I</t>
        </is>
      </c>
      <c r="C172" s="5" t="inlineStr">
        <is>
          <t>PS</t>
        </is>
      </c>
      <c r="D172" s="5" t="n">
        <v>2</v>
      </c>
      <c r="E172" s="5" t="inlineStr">
        <is>
          <t>Melhoria Contínua</t>
        </is>
      </c>
      <c r="F172" s="5" t="inlineStr">
        <is>
          <t>I</t>
        </is>
      </c>
      <c r="G172" s="5" t="inlineStr">
        <is>
          <t>A instituição realiza eventos de participação social para a construção do conhecimento sobre dada matéria e para o desenvolvimento de propostas;</t>
        </is>
      </c>
      <c r="H172" s="6" t="n"/>
      <c r="I172" s="6" t="n"/>
      <c r="J172" s="6" t="n"/>
      <c r="K172" s="6" t="inlineStr">
        <is>
          <t>pendente</t>
        </is>
      </c>
      <c r="L172" s="6" t="n"/>
      <c r="M172" s="5">
        <f>IF(H172="SIM",1,0)</f>
        <v/>
      </c>
      <c r="N172" s="5">
        <f>IF(AND(H172="SIM",K172="validado",I172&lt;&gt;""),1,0)</f>
        <v/>
      </c>
    </row>
    <row r="173">
      <c r="A173" s="5" t="inlineStr">
        <is>
          <t>ANEEL</t>
        </is>
      </c>
      <c r="B173" s="5" t="inlineStr">
        <is>
          <t>PS.GER.I</t>
        </is>
      </c>
      <c r="C173" s="5" t="inlineStr">
        <is>
          <t>PS</t>
        </is>
      </c>
      <c r="D173" s="5" t="n">
        <v>2</v>
      </c>
      <c r="E173" s="5" t="inlineStr">
        <is>
          <t>Gerenciado</t>
        </is>
      </c>
      <c r="F173" s="5" t="inlineStr">
        <is>
          <t>I</t>
        </is>
      </c>
      <c r="G173" s="5" t="inlineStr">
        <is>
          <t>Existência de manual ou ato normativo interno instituindo metodologia e procedimento de participação social;</t>
        </is>
      </c>
      <c r="H173" s="6" t="n"/>
      <c r="I173" s="6" t="n"/>
      <c r="J173" s="6" t="n"/>
      <c r="K173" s="6" t="inlineStr">
        <is>
          <t>pendente</t>
        </is>
      </c>
      <c r="L173" s="6" t="n"/>
      <c r="M173" s="5">
        <f>IF(H173="SIM",1,0)</f>
        <v/>
      </c>
      <c r="N173" s="5">
        <f>IF(AND(H173="SIM",K173="validado",I173&lt;&gt;""),1,0)</f>
        <v/>
      </c>
    </row>
    <row r="174">
      <c r="A174" s="5" t="inlineStr">
        <is>
          <t>ANEEL</t>
        </is>
      </c>
      <c r="B174" s="5" t="inlineStr">
        <is>
          <t>PS.INI.I</t>
        </is>
      </c>
      <c r="C174" s="5" t="inlineStr">
        <is>
          <t>PS</t>
        </is>
      </c>
      <c r="D174" s="5" t="n">
        <v>2</v>
      </c>
      <c r="E174" s="5" t="inlineStr">
        <is>
          <t>Inicial</t>
        </is>
      </c>
      <c r="F174" s="5" t="inlineStr">
        <is>
          <t>I</t>
        </is>
      </c>
      <c r="G174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174" s="6" t="n"/>
      <c r="I174" s="6" t="n"/>
      <c r="J174" s="6" t="n"/>
      <c r="K174" s="6" t="inlineStr">
        <is>
          <t>pendente</t>
        </is>
      </c>
      <c r="L174" s="6" t="n"/>
      <c r="M174" s="5">
        <f>IF(H174="SIM",1,0)</f>
        <v/>
      </c>
      <c r="N174" s="5">
        <f>IF(AND(H174="SIM",K174="validado",I174&lt;&gt;""),1,0)</f>
        <v/>
      </c>
    </row>
    <row r="175">
      <c r="A175" s="5" t="inlineStr">
        <is>
          <t>ANEEL</t>
        </is>
      </c>
      <c r="B175" s="5" t="inlineStr">
        <is>
          <t>PS.MC.II</t>
        </is>
      </c>
      <c r="C175" s="5" t="inlineStr">
        <is>
          <t>PS</t>
        </is>
      </c>
      <c r="D175" s="5" t="n">
        <v>2</v>
      </c>
      <c r="E175" s="5" t="inlineStr">
        <is>
          <t>Melhoria Contínua</t>
        </is>
      </c>
      <c r="F175" s="5" t="inlineStr">
        <is>
          <t>II</t>
        </is>
      </c>
      <c r="G175" s="5" t="inlineStr">
        <is>
          <t>Relatórios da Ouvidoria, relatórios do portal consumidor.gov, pesquisas de satisfação e dados de atendimento são utilizados para subsidiar as decisões regulatórias;</t>
        </is>
      </c>
      <c r="H175" s="6" t="n"/>
      <c r="I175" s="6" t="n"/>
      <c r="J175" s="6" t="n"/>
      <c r="K175" s="6" t="inlineStr">
        <is>
          <t>pendente</t>
        </is>
      </c>
      <c r="L175" s="6" t="n"/>
      <c r="M175" s="5">
        <f>IF(H175="SIM",1,0)</f>
        <v/>
      </c>
      <c r="N175" s="5">
        <f>IF(AND(H175="SIM",K175="validado",I175&lt;&gt;""),1,0)</f>
        <v/>
      </c>
    </row>
    <row r="176">
      <c r="A176" s="5" t="inlineStr">
        <is>
          <t>ANEEL</t>
        </is>
      </c>
      <c r="B176" s="5" t="inlineStr">
        <is>
          <t>PS.GER.II</t>
        </is>
      </c>
      <c r="C176" s="5" t="inlineStr">
        <is>
          <t>PS</t>
        </is>
      </c>
      <c r="D176" s="5" t="n">
        <v>2</v>
      </c>
      <c r="E176" s="5" t="inlineStr">
        <is>
          <t>Gerenciado</t>
        </is>
      </c>
      <c r="F176" s="5" t="inlineStr">
        <is>
          <t>II</t>
        </is>
      </c>
      <c r="G176" s="5" t="inlineStr">
        <is>
          <t>Os relatórios da Ouvidoria e os relatórios do portal consumidor.gov são utilizados para subsidiar as decisões regulatórias;</t>
        </is>
      </c>
      <c r="H176" s="6" t="n"/>
      <c r="I176" s="6" t="n"/>
      <c r="J176" s="6" t="n"/>
      <c r="K176" s="6" t="inlineStr">
        <is>
          <t>pendente</t>
        </is>
      </c>
      <c r="L176" s="6" t="n"/>
      <c r="M176" s="5">
        <f>IF(H176="SIM",1,0)</f>
        <v/>
      </c>
      <c r="N176" s="5">
        <f>IF(AND(H176="SIM",K176="validado",I176&lt;&gt;""),1,0)</f>
        <v/>
      </c>
    </row>
    <row r="177">
      <c r="A177" s="5" t="inlineStr">
        <is>
          <t>ANEEL</t>
        </is>
      </c>
      <c r="B177" s="5" t="inlineStr">
        <is>
          <t>PS.MC.III</t>
        </is>
      </c>
      <c r="C177" s="5" t="inlineStr">
        <is>
          <t>PS</t>
        </is>
      </c>
      <c r="D177" s="5" t="n">
        <v>2</v>
      </c>
      <c r="E177" s="5" t="inlineStr">
        <is>
          <t>Melhoria Contínua</t>
        </is>
      </c>
      <c r="F177" s="5" t="inlineStr">
        <is>
          <t>III</t>
        </is>
      </c>
      <c r="G177" s="5" t="inlineStr">
        <is>
          <t>Todos os instrumentos, processos e relatórios contendo as contribuições analisadas são divulgados no portal do órgão e/ou plataforma Participa Mais Brasil;</t>
        </is>
      </c>
      <c r="H177" s="6" t="n"/>
      <c r="I177" s="6" t="n"/>
      <c r="J177" s="6" t="n"/>
      <c r="K177" s="6" t="inlineStr">
        <is>
          <t>pendente</t>
        </is>
      </c>
      <c r="L177" s="6" t="n"/>
      <c r="M177" s="5">
        <f>IF(H177="SIM",1,0)</f>
        <v/>
      </c>
      <c r="N177" s="5">
        <f>IF(AND(H177="SIM",K177="validado",I177&lt;&gt;""),1,0)</f>
        <v/>
      </c>
    </row>
    <row r="178">
      <c r="A178" s="5" t="inlineStr">
        <is>
          <t>ANEEL</t>
        </is>
      </c>
      <c r="B178" s="5" t="inlineStr">
        <is>
          <t>PS.GER.III</t>
        </is>
      </c>
      <c r="C178" s="5" t="inlineStr">
        <is>
          <t>PS</t>
        </is>
      </c>
      <c r="D178" s="5" t="n">
        <v>2</v>
      </c>
      <c r="E178" s="5" t="inlineStr">
        <is>
          <t>Gerenciado</t>
        </is>
      </c>
      <c r="F178" s="5" t="inlineStr">
        <is>
          <t>III</t>
        </is>
      </c>
      <c r="G178" s="5" t="inlineStr">
        <is>
          <t>Todas as informações relativas aos processos em andamento são divulgadas no portal do órgão e/ou plataforma Participa Mais Brasil;</t>
        </is>
      </c>
      <c r="H178" s="6" t="n"/>
      <c r="I178" s="6" t="n"/>
      <c r="J178" s="6" t="n"/>
      <c r="K178" s="6" t="inlineStr">
        <is>
          <t>pendente</t>
        </is>
      </c>
      <c r="L178" s="6" t="n"/>
      <c r="M178" s="5">
        <f>IF(H178="SIM",1,0)</f>
        <v/>
      </c>
      <c r="N178" s="5">
        <f>IF(AND(H178="SIM",K178="validado",I178&lt;&gt;""),1,0)</f>
        <v/>
      </c>
    </row>
    <row r="179">
      <c r="A179" s="5" t="inlineStr">
        <is>
          <t>ANEEL</t>
        </is>
      </c>
      <c r="B179" s="5" t="inlineStr">
        <is>
          <t>PS.MC.IV</t>
        </is>
      </c>
      <c r="C179" s="5" t="inlineStr">
        <is>
          <t>PS</t>
        </is>
      </c>
      <c r="D179" s="5" t="n">
        <v>2</v>
      </c>
      <c r="E179" s="5" t="inlineStr">
        <is>
          <t>Melhoria Contínua</t>
        </is>
      </c>
      <c r="F179" s="5" t="inlineStr">
        <is>
          <t>IV</t>
        </is>
      </c>
      <c r="G179" s="5" t="inlineStr">
        <is>
          <t>A efetividade do evento de participação social é mensurada, conforme metodologia instituída.</t>
        </is>
      </c>
      <c r="H179" s="6" t="n"/>
      <c r="I179" s="6" t="n"/>
      <c r="J179" s="6" t="n"/>
      <c r="K179" s="6" t="inlineStr">
        <is>
          <t>pendente</t>
        </is>
      </c>
      <c r="L179" s="6" t="n"/>
      <c r="M179" s="5">
        <f>IF(H179="SIM",1,0)</f>
        <v/>
      </c>
      <c r="N179" s="5">
        <f>IF(AND(H179="SIM",K179="validado",I179&lt;&gt;""),1,0)</f>
        <v/>
      </c>
    </row>
    <row r="180">
      <c r="A180" s="5" t="inlineStr">
        <is>
          <t>ANEEL</t>
        </is>
      </c>
      <c r="B180" s="5" t="inlineStr">
        <is>
          <t>PS.GER.IV</t>
        </is>
      </c>
      <c r="C180" s="5" t="inlineStr">
        <is>
          <t>PS</t>
        </is>
      </c>
      <c r="D180" s="5" t="n">
        <v>2</v>
      </c>
      <c r="E180" s="5" t="inlineStr">
        <is>
          <t>Gerenciado</t>
        </is>
      </c>
      <c r="F180" s="5" t="inlineStr">
        <is>
          <t>IV</t>
        </is>
      </c>
      <c r="G180" s="5" t="inlineStr">
        <is>
          <t>A efetividade do evento de participação social é avaliada de forma intuitiva.</t>
        </is>
      </c>
      <c r="H180" s="6" t="n"/>
      <c r="I180" s="6" t="n"/>
      <c r="J180" s="6" t="n"/>
      <c r="K180" s="6" t="inlineStr">
        <is>
          <t>pendente</t>
        </is>
      </c>
      <c r="L180" s="6" t="n"/>
      <c r="M180" s="5">
        <f>IF(H180="SIM",1,0)</f>
        <v/>
      </c>
      <c r="N180" s="5">
        <f>IF(AND(H180="SIM",K180="validado",I180&lt;&gt;""),1,0)</f>
        <v/>
      </c>
    </row>
    <row r="181">
      <c r="A181" s="5" t="inlineStr">
        <is>
          <t>ANEEL</t>
        </is>
      </c>
      <c r="B181" s="5" t="inlineStr">
        <is>
          <t>EST.MC.I</t>
        </is>
      </c>
      <c r="C181" s="5" t="inlineStr">
        <is>
          <t>EST</t>
        </is>
      </c>
      <c r="D181" s="5" t="n">
        <v>3</v>
      </c>
      <c r="E181" s="5" t="inlineStr">
        <is>
          <t>Melhoria Contínua</t>
        </is>
      </c>
      <c r="F181" s="5" t="inlineStr">
        <is>
          <t>I</t>
        </is>
      </c>
      <c r="G181" s="5" t="inlineStr">
        <is>
          <t>As alterações do estoque regulatório da instituição são priorizadas por meio de uma agenda regulatória;</t>
        </is>
      </c>
      <c r="H181" s="6" t="n"/>
      <c r="I181" s="6" t="n"/>
      <c r="J181" s="6" t="n"/>
      <c r="K181" s="6" t="inlineStr">
        <is>
          <t>pendente</t>
        </is>
      </c>
      <c r="L181" s="6" t="n"/>
      <c r="M181" s="5">
        <f>IF(H181="SIM",1,0)</f>
        <v/>
      </c>
      <c r="N181" s="5">
        <f>IF(AND(H181="SIM",K181="validado",I181&lt;&gt;""),1,0)</f>
        <v/>
      </c>
    </row>
    <row r="182">
      <c r="A182" s="5" t="inlineStr">
        <is>
          <t>ANEEL</t>
        </is>
      </c>
      <c r="B182" s="5" t="inlineStr">
        <is>
          <t>EST.GER.I</t>
        </is>
      </c>
      <c r="C182" s="5" t="inlineStr">
        <is>
          <t>EST</t>
        </is>
      </c>
      <c r="D182" s="5" t="n">
        <v>3</v>
      </c>
      <c r="E182" s="5" t="inlineStr">
        <is>
          <t>Gerenciado</t>
        </is>
      </c>
      <c r="F182" s="5" t="inlineStr">
        <is>
          <t>I</t>
        </is>
      </c>
      <c r="G182" s="5" t="inlineStr">
        <is>
          <t>Normas publicadas e disponíveis de maneira sistematizada para consulta pública no portal gov.br;</t>
        </is>
      </c>
      <c r="H182" s="6" t="n"/>
      <c r="I182" s="6" t="n"/>
      <c r="J182" s="6" t="n"/>
      <c r="K182" s="6" t="inlineStr">
        <is>
          <t>pendente</t>
        </is>
      </c>
      <c r="L182" s="6" t="n"/>
      <c r="M182" s="5">
        <f>IF(H182="SIM",1,0)</f>
        <v/>
      </c>
      <c r="N182" s="5">
        <f>IF(AND(H182="SIM",K182="validado",I182&lt;&gt;""),1,0)</f>
        <v/>
      </c>
    </row>
    <row r="183">
      <c r="A183" s="5" t="inlineStr">
        <is>
          <t>ANEEL</t>
        </is>
      </c>
      <c r="B183" s="5" t="inlineStr">
        <is>
          <t>EST.INI.I</t>
        </is>
      </c>
      <c r="C183" s="5" t="inlineStr">
        <is>
          <t>EST</t>
        </is>
      </c>
      <c r="D183" s="5" t="n">
        <v>3</v>
      </c>
      <c r="E183" s="5" t="inlineStr">
        <is>
          <t>Inicial</t>
        </is>
      </c>
      <c r="F183" s="5" t="inlineStr">
        <is>
          <t>I</t>
        </is>
      </c>
      <c r="G183" s="5" t="inlineStr">
        <is>
          <t>Normas publicadas e disponíveis de maneira sistematizada para consulta pública na internet;</t>
        </is>
      </c>
      <c r="H183" s="6" t="n"/>
      <c r="I183" s="6" t="n"/>
      <c r="J183" s="6" t="n"/>
      <c r="K183" s="6" t="inlineStr">
        <is>
          <t>pendente</t>
        </is>
      </c>
      <c r="L183" s="6" t="n"/>
      <c r="M183" s="5">
        <f>IF(H183="SIM",1,0)</f>
        <v/>
      </c>
      <c r="N183" s="5">
        <f>IF(AND(H183="SIM",K183="validado",I183&lt;&gt;""),1,0)</f>
        <v/>
      </c>
    </row>
    <row r="184">
      <c r="A184" s="5" t="inlineStr">
        <is>
          <t>ANEEL</t>
        </is>
      </c>
      <c r="B184" s="5" t="inlineStr">
        <is>
          <t>EST.MC.II</t>
        </is>
      </c>
      <c r="C184" s="5" t="inlineStr">
        <is>
          <t>EST</t>
        </is>
      </c>
      <c r="D184" s="5" t="n">
        <v>3</v>
      </c>
      <c r="E184" s="5" t="inlineStr">
        <is>
          <t>Melhoria Contínua</t>
        </is>
      </c>
      <c r="F184" s="5" t="inlineStr">
        <is>
          <t>II</t>
        </is>
      </c>
      <c r="G184" s="5" t="inlineStr">
        <is>
          <t>Todas as novas normas passam pela análise de consolidação e compatibilização de normas vigentes.</t>
        </is>
      </c>
      <c r="H184" s="6" t="n"/>
      <c r="I184" s="6" t="n"/>
      <c r="J184" s="6" t="n"/>
      <c r="K184" s="6" t="inlineStr">
        <is>
          <t>pendente</t>
        </is>
      </c>
      <c r="L184" s="6" t="n"/>
      <c r="M184" s="5">
        <f>IF(H184="SIM",1,0)</f>
        <v/>
      </c>
      <c r="N184" s="5">
        <f>IF(AND(H184="SIM",K184="validado",I184&lt;&gt;""),1,0)</f>
        <v/>
      </c>
    </row>
    <row r="185">
      <c r="A185" s="5" t="inlineStr">
        <is>
          <t>ANEEL</t>
        </is>
      </c>
      <c r="B185" s="5" t="inlineStr">
        <is>
          <t>EST.GER.II</t>
        </is>
      </c>
      <c r="C185" s="5" t="inlineStr">
        <is>
          <t>EST</t>
        </is>
      </c>
      <c r="D185" s="5" t="n">
        <v>3</v>
      </c>
      <c r="E185" s="5" t="inlineStr">
        <is>
          <t>Gerenciado</t>
        </is>
      </c>
      <c r="F185" s="5" t="inlineStr">
        <is>
          <t>II</t>
        </is>
      </c>
      <c r="G185" s="5" t="inlineStr">
        <is>
          <t>Foi realizado levantamento quantitativo de todas as normas do órgão, bem como análise qualitativa, indexação e classificação por tema;</t>
        </is>
      </c>
      <c r="H185" s="6" t="n"/>
      <c r="I185" s="6" t="n"/>
      <c r="J185" s="6" t="n"/>
      <c r="K185" s="6" t="inlineStr">
        <is>
          <t>pendente</t>
        </is>
      </c>
      <c r="L185" s="6" t="n"/>
      <c r="M185" s="5">
        <f>IF(H185="SIM",1,0)</f>
        <v/>
      </c>
      <c r="N185" s="5">
        <f>IF(AND(H185="SIM",K185="validado",I185&lt;&gt;""),1,0)</f>
        <v/>
      </c>
    </row>
    <row r="186">
      <c r="A186" s="5" t="inlineStr">
        <is>
          <t>ANEEL</t>
        </is>
      </c>
      <c r="B186" s="5" t="inlineStr">
        <is>
          <t>EST.INI.II</t>
        </is>
      </c>
      <c r="C186" s="5" t="inlineStr">
        <is>
          <t>EST</t>
        </is>
      </c>
      <c r="D186" s="5" t="n">
        <v>3</v>
      </c>
      <c r="E186" s="5" t="inlineStr">
        <is>
          <t>Inicial</t>
        </is>
      </c>
      <c r="F186" s="5" t="inlineStr">
        <is>
          <t>II</t>
        </is>
      </c>
      <c r="G186" s="5" t="inlineStr">
        <is>
          <t>Foi realizado levantamento quantitativo de todas as normas do órgão.</t>
        </is>
      </c>
      <c r="H186" s="6" t="n"/>
      <c r="I186" s="6" t="n"/>
      <c r="J186" s="6" t="n"/>
      <c r="K186" s="6" t="inlineStr">
        <is>
          <t>pendente</t>
        </is>
      </c>
      <c r="L186" s="6" t="n"/>
      <c r="M186" s="5">
        <f>IF(H186="SIM",1,0)</f>
        <v/>
      </c>
      <c r="N186" s="5">
        <f>IF(AND(H186="SIM",K186="validado",I186&lt;&gt;""),1,0)</f>
        <v/>
      </c>
    </row>
    <row r="187">
      <c r="A187" s="5" t="inlineStr">
        <is>
          <t>ANEEL</t>
        </is>
      </c>
      <c r="B187" s="5" t="inlineStr">
        <is>
          <t>EST.GER.III</t>
        </is>
      </c>
      <c r="C187" s="5" t="inlineStr">
        <is>
          <t>EST</t>
        </is>
      </c>
      <c r="D187" s="5" t="n">
        <v>3</v>
      </c>
      <c r="E187" s="5" t="inlineStr">
        <is>
          <t>Gerenciado</t>
        </is>
      </c>
      <c r="F187" s="5" t="inlineStr">
        <is>
          <t>III</t>
        </is>
      </c>
      <c r="G187" s="5" t="inlineStr">
        <is>
          <t>Para toda a nova norma de alto impacto/alta complexidade foi estimado o fardo regulatório; e</t>
        </is>
      </c>
      <c r="H187" s="6" t="n"/>
      <c r="I187" s="6" t="n"/>
      <c r="J187" s="6" t="n"/>
      <c r="K187" s="6" t="inlineStr">
        <is>
          <t>pendente</t>
        </is>
      </c>
      <c r="L187" s="6" t="n"/>
      <c r="M187" s="5">
        <f>IF(H187="SIM",1,0)</f>
        <v/>
      </c>
      <c r="N187" s="5">
        <f>IF(AND(H187="SIM",K187="validado",I187&lt;&gt;""),1,0)</f>
        <v/>
      </c>
    </row>
    <row r="188">
      <c r="A188" s="5" t="inlineStr">
        <is>
          <t>ANEEL</t>
        </is>
      </c>
      <c r="B188" s="5" t="inlineStr">
        <is>
          <t>EST.GER.IV</t>
        </is>
      </c>
      <c r="C188" s="5" t="inlineStr">
        <is>
          <t>EST</t>
        </is>
      </c>
      <c r="D188" s="5" t="n">
        <v>3</v>
      </c>
      <c r="E188" s="5" t="inlineStr">
        <is>
          <t>Gerenciado</t>
        </is>
      </c>
      <c r="F188" s="5" t="inlineStr">
        <is>
          <t>IV</t>
        </is>
      </c>
      <c r="G188" s="5" t="inlineStr">
        <is>
          <t>Existe manutenção da consolidação normativa, conforme art. 19 do Decreto nº 10.139, de 28 de novembro de 2019.</t>
        </is>
      </c>
      <c r="H188" s="6" t="n"/>
      <c r="I188" s="6" t="n"/>
      <c r="J188" s="6" t="n"/>
      <c r="K188" s="6" t="inlineStr">
        <is>
          <t>pendente</t>
        </is>
      </c>
      <c r="L188" s="6" t="n"/>
      <c r="M188" s="5">
        <f>IF(H188="SIM",1,0)</f>
        <v/>
      </c>
      <c r="N188" s="5">
        <f>IF(AND(H188="SIM",K188="validado",I188&lt;&gt;""),1,0)</f>
        <v/>
      </c>
    </row>
    <row r="189">
      <c r="A189" s="5" t="inlineStr">
        <is>
          <t>ANEEL</t>
        </is>
      </c>
      <c r="B189" s="5" t="inlineStr">
        <is>
          <t>AGE.MC.I</t>
        </is>
      </c>
      <c r="C189" s="5" t="inlineStr">
        <is>
          <t>AGE</t>
        </is>
      </c>
      <c r="D189" s="5" t="n">
        <v>4</v>
      </c>
      <c r="E189" s="5" t="inlineStr">
        <is>
          <t>Melhoria Contínua</t>
        </is>
      </c>
      <c r="F189" s="5" t="inlineStr">
        <is>
          <t>I</t>
        </is>
      </c>
      <c r="G189" s="5" t="inlineStr">
        <is>
          <t>A elaboração da agenda regulatória tem ampla participação social, a qual é analisada, respondida e divulgada;</t>
        </is>
      </c>
      <c r="H189" s="6" t="n"/>
      <c r="I189" s="6" t="n"/>
      <c r="J189" s="6" t="n"/>
      <c r="K189" s="6" t="inlineStr">
        <is>
          <t>pendente</t>
        </is>
      </c>
      <c r="L189" s="6" t="n"/>
      <c r="M189" s="5">
        <f>IF(H189="SIM",1,0)</f>
        <v/>
      </c>
      <c r="N189" s="5">
        <f>IF(AND(H189="SIM",K189="validado",I189&lt;&gt;""),1,0)</f>
        <v/>
      </c>
    </row>
    <row r="190">
      <c r="A190" s="5" t="inlineStr">
        <is>
          <t>ANEEL</t>
        </is>
      </c>
      <c r="B190" s="5" t="inlineStr">
        <is>
          <t>AGE.GER.I</t>
        </is>
      </c>
      <c r="C190" s="5" t="inlineStr">
        <is>
          <t>AGE</t>
        </is>
      </c>
      <c r="D190" s="5" t="n">
        <v>4</v>
      </c>
      <c r="E190" s="5" t="inlineStr">
        <is>
          <t>Gerenciado</t>
        </is>
      </c>
      <c r="F190" s="5" t="inlineStr">
        <is>
          <t>I</t>
        </is>
      </c>
      <c r="G190" s="5" t="inlineStr">
        <is>
          <t>A elaboração da agenda regulatória tem ampla participação social, a qual é analisada, porém não respondida e divulgada;</t>
        </is>
      </c>
      <c r="H190" s="6" t="n"/>
      <c r="I190" s="6" t="n"/>
      <c r="J190" s="6" t="n"/>
      <c r="K190" s="6" t="inlineStr">
        <is>
          <t>pendente</t>
        </is>
      </c>
      <c r="L190" s="6" t="n"/>
      <c r="M190" s="5">
        <f>IF(H190="SIM",1,0)</f>
        <v/>
      </c>
      <c r="N190" s="5">
        <f>IF(AND(H190="SIM",K190="validado",I190&lt;&gt;""),1,0)</f>
        <v/>
      </c>
    </row>
    <row r="191">
      <c r="A191" s="5" t="inlineStr">
        <is>
          <t>ANEEL</t>
        </is>
      </c>
      <c r="B191" s="5" t="inlineStr">
        <is>
          <t>AGE.INI.I</t>
        </is>
      </c>
      <c r="C191" s="5" t="inlineStr">
        <is>
          <t>AGE</t>
        </is>
      </c>
      <c r="D191" s="5" t="n">
        <v>4</v>
      </c>
      <c r="E191" s="5" t="inlineStr">
        <is>
          <t>Inicial</t>
        </is>
      </c>
      <c r="F191" s="5" t="inlineStr">
        <is>
          <t>I</t>
        </is>
      </c>
      <c r="G191" s="5" t="inlineStr">
        <is>
          <t>Os temas da agenda regulatória são elencados e priorizados pelos gestores da agência;</t>
        </is>
      </c>
      <c r="H191" s="6" t="n"/>
      <c r="I191" s="6" t="n"/>
      <c r="J191" s="6" t="n"/>
      <c r="K191" s="6" t="inlineStr">
        <is>
          <t>pendente</t>
        </is>
      </c>
      <c r="L191" s="6" t="n"/>
      <c r="M191" s="5">
        <f>IF(H191="SIM",1,0)</f>
        <v/>
      </c>
      <c r="N191" s="5">
        <f>IF(AND(H191="SIM",K191="validado",I191&lt;&gt;""),1,0)</f>
        <v/>
      </c>
    </row>
    <row r="192">
      <c r="A192" s="5" t="inlineStr">
        <is>
          <t>ANEEL</t>
        </is>
      </c>
      <c r="B192" s="5" t="inlineStr">
        <is>
          <t>AGE.MC.II</t>
        </is>
      </c>
      <c r="C192" s="5" t="inlineStr">
        <is>
          <t>AGE</t>
        </is>
      </c>
      <c r="D192" s="5" t="n">
        <v>4</v>
      </c>
      <c r="E192" s="5" t="inlineStr">
        <is>
          <t>Melhoria Contínua</t>
        </is>
      </c>
      <c r="F192" s="5" t="inlineStr">
        <is>
          <t>II</t>
        </is>
      </c>
      <c r="G192" s="5" t="inlineStr">
        <is>
          <t>Os projetos da Agenda Regulatória estão aderentes ao planejamento estratégico vigente e estão correlacionados ao Plano de Gestão Anual;</t>
        </is>
      </c>
      <c r="H192" s="6" t="n"/>
      <c r="I192" s="6" t="n"/>
      <c r="J192" s="6" t="n"/>
      <c r="K192" s="6" t="inlineStr">
        <is>
          <t>pendente</t>
        </is>
      </c>
      <c r="L192" s="6" t="n"/>
      <c r="M192" s="5">
        <f>IF(H192="SIM",1,0)</f>
        <v/>
      </c>
      <c r="N192" s="5">
        <f>IF(AND(H192="SIM",K192="validado",I192&lt;&gt;""),1,0)</f>
        <v/>
      </c>
    </row>
    <row r="193">
      <c r="A193" s="5" t="inlineStr">
        <is>
          <t>ANEEL</t>
        </is>
      </c>
      <c r="B193" s="5" t="inlineStr">
        <is>
          <t>AGE.GER.II</t>
        </is>
      </c>
      <c r="C193" s="5" t="inlineStr">
        <is>
          <t>AGE</t>
        </is>
      </c>
      <c r="D193" s="5" t="n">
        <v>4</v>
      </c>
      <c r="E193" s="5" t="inlineStr">
        <is>
          <t>Gerenciado</t>
        </is>
      </c>
      <c r="F193" s="5" t="inlineStr">
        <is>
          <t>II</t>
        </is>
      </c>
      <c r="G193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193" s="6" t="n"/>
      <c r="I193" s="6" t="n"/>
      <c r="J193" s="6" t="n"/>
      <c r="K193" s="6" t="inlineStr">
        <is>
          <t>pendente</t>
        </is>
      </c>
      <c r="L193" s="6" t="n"/>
      <c r="M193" s="5">
        <f>IF(H193="SIM",1,0)</f>
        <v/>
      </c>
      <c r="N193" s="5">
        <f>IF(AND(H193="SIM",K193="validado",I193&lt;&gt;""),1,0)</f>
        <v/>
      </c>
    </row>
    <row r="194">
      <c r="A194" s="5" t="inlineStr">
        <is>
          <t>ANEEL</t>
        </is>
      </c>
      <c r="B194" s="5" t="inlineStr">
        <is>
          <t>AGE.INI.II</t>
        </is>
      </c>
      <c r="C194" s="5" t="inlineStr">
        <is>
          <t>AGE</t>
        </is>
      </c>
      <c r="D194" s="5" t="n">
        <v>4</v>
      </c>
      <c r="E194" s="5" t="inlineStr">
        <is>
          <t>Inicial</t>
        </is>
      </c>
      <c r="F194" s="5" t="inlineStr">
        <is>
          <t>II</t>
        </is>
      </c>
      <c r="G194" s="5" t="inlineStr">
        <is>
          <t>É avaliada a aderência da proposta de Agenda às políticas públicas.</t>
        </is>
      </c>
      <c r="H194" s="6" t="n"/>
      <c r="I194" s="6" t="n"/>
      <c r="J194" s="6" t="n"/>
      <c r="K194" s="6" t="inlineStr">
        <is>
          <t>pendente</t>
        </is>
      </c>
      <c r="L194" s="6" t="n"/>
      <c r="M194" s="5">
        <f>IF(H194="SIM",1,0)</f>
        <v/>
      </c>
      <c r="N194" s="5">
        <f>IF(AND(H194="SIM",K194="validado",I194&lt;&gt;""),1,0)</f>
        <v/>
      </c>
    </row>
    <row r="195">
      <c r="A195" s="5" t="inlineStr">
        <is>
          <t>ANEEL</t>
        </is>
      </c>
      <c r="B195" s="5" t="inlineStr">
        <is>
          <t>AGE.MC.III</t>
        </is>
      </c>
      <c r="C195" s="5" t="inlineStr">
        <is>
          <t>AGE</t>
        </is>
      </c>
      <c r="D195" s="5" t="n">
        <v>4</v>
      </c>
      <c r="E195" s="5" t="inlineStr">
        <is>
          <t>Melhoria Contínua</t>
        </is>
      </c>
      <c r="F195" s="5" t="inlineStr">
        <is>
          <t>III</t>
        </is>
      </c>
      <c r="G195" s="5" t="inlineStr">
        <is>
          <t>Cumprimento de, no mínimo, 80% da Agenda Regulatória;</t>
        </is>
      </c>
      <c r="H195" s="6" t="n"/>
      <c r="I195" s="6" t="n"/>
      <c r="J195" s="6" t="n"/>
      <c r="K195" s="6" t="inlineStr">
        <is>
          <t>pendente</t>
        </is>
      </c>
      <c r="L195" s="6" t="n"/>
      <c r="M195" s="5">
        <f>IF(H195="SIM",1,0)</f>
        <v/>
      </c>
      <c r="N195" s="5">
        <f>IF(AND(H195="SIM",K195="validado",I195&lt;&gt;""),1,0)</f>
        <v/>
      </c>
    </row>
    <row r="196">
      <c r="A196" s="5" t="inlineStr">
        <is>
          <t>ANEEL</t>
        </is>
      </c>
      <c r="B196" s="5" t="inlineStr">
        <is>
          <t>AGE.GER.III</t>
        </is>
      </c>
      <c r="C196" s="5" t="inlineStr">
        <is>
          <t>AGE</t>
        </is>
      </c>
      <c r="D196" s="5" t="n">
        <v>4</v>
      </c>
      <c r="E196" s="5" t="inlineStr">
        <is>
          <t>Gerenciado</t>
        </is>
      </c>
      <c r="F196" s="5" t="inlineStr">
        <is>
          <t>III</t>
        </is>
      </c>
      <c r="G196" s="5" t="inlineStr">
        <is>
          <t>Cumprimento de 50% a 79% da Agenda Regulatória;</t>
        </is>
      </c>
      <c r="H196" s="6" t="n"/>
      <c r="I196" s="6" t="n"/>
      <c r="J196" s="6" t="n"/>
      <c r="K196" s="6" t="inlineStr">
        <is>
          <t>pendente</t>
        </is>
      </c>
      <c r="L196" s="6" t="n"/>
      <c r="M196" s="5">
        <f>IF(H196="SIM",1,0)</f>
        <v/>
      </c>
      <c r="N196" s="5">
        <f>IF(AND(H196="SIM",K196="validado",I196&lt;&gt;""),1,0)</f>
        <v/>
      </c>
    </row>
    <row r="197">
      <c r="A197" s="5" t="inlineStr">
        <is>
          <t>ANEEL</t>
        </is>
      </c>
      <c r="B197" s="5" t="inlineStr">
        <is>
          <t>AGE.MC.IV</t>
        </is>
      </c>
      <c r="C197" s="5" t="inlineStr">
        <is>
          <t>AGE</t>
        </is>
      </c>
      <c r="D197" s="5" t="n">
        <v>4</v>
      </c>
      <c r="E197" s="5" t="inlineStr">
        <is>
          <t>Melhoria Contínua</t>
        </is>
      </c>
      <c r="F197" s="5" t="inlineStr">
        <is>
          <t>IV</t>
        </is>
      </c>
      <c r="G197" s="5" t="inlineStr">
        <is>
          <t>A execução da Agenda Regulatória é periodicamente monitorada e divulgada.</t>
        </is>
      </c>
      <c r="H197" s="6" t="n"/>
      <c r="I197" s="6" t="n"/>
      <c r="J197" s="6" t="n"/>
      <c r="K197" s="6" t="inlineStr">
        <is>
          <t>pendente</t>
        </is>
      </c>
      <c r="L197" s="6" t="n"/>
      <c r="M197" s="5">
        <f>IF(H197="SIM",1,0)</f>
        <v/>
      </c>
      <c r="N197" s="5">
        <f>IF(AND(H197="SIM",K197="validado",I197&lt;&gt;""),1,0)</f>
        <v/>
      </c>
    </row>
    <row r="198">
      <c r="A198" s="5" t="inlineStr">
        <is>
          <t>ANEEL</t>
        </is>
      </c>
      <c r="B198" s="5" t="inlineStr">
        <is>
          <t>AGE.GER.IV</t>
        </is>
      </c>
      <c r="C198" s="5" t="inlineStr">
        <is>
          <t>AGE</t>
        </is>
      </c>
      <c r="D198" s="5" t="n">
        <v>4</v>
      </c>
      <c r="E198" s="5" t="inlineStr">
        <is>
          <t>Gerenciado</t>
        </is>
      </c>
      <c r="F198" s="5" t="inlineStr">
        <is>
          <t>IV</t>
        </is>
      </c>
      <c r="G198" s="5" t="inlineStr">
        <is>
          <t>A execução da Agenda Regulatória é periodicamente monitorada.</t>
        </is>
      </c>
      <c r="H198" s="6" t="n"/>
      <c r="I198" s="6" t="n"/>
      <c r="J198" s="6" t="n"/>
      <c r="K198" s="6" t="inlineStr">
        <is>
          <t>pendente</t>
        </is>
      </c>
      <c r="L198" s="6" t="n"/>
      <c r="M198" s="5">
        <f>IF(H198="SIM",1,0)</f>
        <v/>
      </c>
      <c r="N198" s="5">
        <f>IF(AND(H198="SIM",K198="validado",I198&lt;&gt;""),1,0)</f>
        <v/>
      </c>
    </row>
    <row r="199">
      <c r="A199" s="5" t="inlineStr">
        <is>
          <t>ANEEL</t>
        </is>
      </c>
      <c r="B199" s="5" t="inlineStr">
        <is>
          <t>PRO.MC.I</t>
        </is>
      </c>
      <c r="C199" s="5" t="inlineStr">
        <is>
          <t>PRO</t>
        </is>
      </c>
      <c r="D199" s="5" t="n">
        <v>5</v>
      </c>
      <c r="E199" s="5" t="inlineStr">
        <is>
          <t>Melhoria Contínua</t>
        </is>
      </c>
      <c r="F199" s="5" t="inlineStr">
        <is>
          <t>I</t>
        </is>
      </c>
      <c r="G199" s="5" t="inlineStr">
        <is>
          <t>Indicadores de processo normativo estabelecidos e monitorados;</t>
        </is>
      </c>
      <c r="H199" s="6" t="n"/>
      <c r="I199" s="6" t="n"/>
      <c r="J199" s="6" t="n"/>
      <c r="K199" s="6" t="inlineStr">
        <is>
          <t>pendente</t>
        </is>
      </c>
      <c r="L199" s="6" t="n"/>
      <c r="M199" s="5">
        <f>IF(H199="SIM",1,0)</f>
        <v/>
      </c>
      <c r="N199" s="5">
        <f>IF(AND(H199="SIM",K199="validado",I199&lt;&gt;""),1,0)</f>
        <v/>
      </c>
    </row>
    <row r="200">
      <c r="A200" s="5" t="inlineStr">
        <is>
          <t>ANEEL</t>
        </is>
      </c>
      <c r="B200" s="5" t="inlineStr">
        <is>
          <t>PRO.GER.I</t>
        </is>
      </c>
      <c r="C200" s="5" t="inlineStr">
        <is>
          <t>PRO</t>
        </is>
      </c>
      <c r="D200" s="5" t="n">
        <v>5</v>
      </c>
      <c r="E200" s="5" t="inlineStr">
        <is>
          <t>Gerenciado</t>
        </is>
      </c>
      <c r="F200" s="5" t="inlineStr">
        <is>
          <t>I</t>
        </is>
      </c>
      <c r="G200" s="5" t="inlineStr">
        <is>
          <t>as intervenções de participação social estão claramente inseridas no processo.</t>
        </is>
      </c>
      <c r="H200" s="6" t="n"/>
      <c r="I200" s="6" t="n"/>
      <c r="J200" s="6" t="n"/>
      <c r="K200" s="6" t="inlineStr">
        <is>
          <t>pendente</t>
        </is>
      </c>
      <c r="L200" s="6" t="n"/>
      <c r="M200" s="5">
        <f>IF(H200="SIM",1,0)</f>
        <v/>
      </c>
      <c r="N200" s="5">
        <f>IF(AND(H200="SIM",K200="validado",I200&lt;&gt;""),1,0)</f>
        <v/>
      </c>
    </row>
    <row r="201">
      <c r="A201" s="5" t="inlineStr">
        <is>
          <t>ANEEL</t>
        </is>
      </c>
      <c r="B201" s="5" t="inlineStr">
        <is>
          <t>PRO.INI.I</t>
        </is>
      </c>
      <c r="C201" s="5" t="inlineStr">
        <is>
          <t>PRO</t>
        </is>
      </c>
      <c r="D201" s="5" t="n">
        <v>5</v>
      </c>
      <c r="E201" s="5" t="inlineStr">
        <is>
          <t>Inicial</t>
        </is>
      </c>
      <c r="F201" s="5" t="inlineStr">
        <is>
          <t>I</t>
        </is>
      </c>
      <c r="G201" s="5" t="inlineStr">
        <is>
          <t>O fluxo do processo normativo é formalizado de forma bem definida e clara;</t>
        </is>
      </c>
      <c r="H201" s="6" t="n"/>
      <c r="I201" s="6" t="n"/>
      <c r="J201" s="6" t="n"/>
      <c r="K201" s="6" t="inlineStr">
        <is>
          <t>pendente</t>
        </is>
      </c>
      <c r="L201" s="6" t="n"/>
      <c r="M201" s="5">
        <f>IF(H201="SIM",1,0)</f>
        <v/>
      </c>
      <c r="N201" s="5">
        <f>IF(AND(H201="SIM",K201="validado",I201&lt;&gt;""),1,0)</f>
        <v/>
      </c>
    </row>
    <row r="202">
      <c r="A202" s="5" t="inlineStr">
        <is>
          <t>ANEEL</t>
        </is>
      </c>
      <c r="B202" s="5" t="inlineStr">
        <is>
          <t>PRO.MC.II</t>
        </is>
      </c>
      <c r="C202" s="5" t="inlineStr">
        <is>
          <t>PRO</t>
        </is>
      </c>
      <c r="D202" s="5" t="n">
        <v>5</v>
      </c>
      <c r="E202" s="5" t="inlineStr">
        <is>
          <t>Melhoria Contínua</t>
        </is>
      </c>
      <c r="F202" s="5" t="inlineStr">
        <is>
          <t>II</t>
        </is>
      </c>
      <c r="G202" s="5" t="inlineStr">
        <is>
          <t>Há processo contínuo de avaliação e melhoria do processo normativo, utilizando o resultado dos indicadores.</t>
        </is>
      </c>
      <c r="H202" s="6" t="n"/>
      <c r="I202" s="6" t="n"/>
      <c r="J202" s="6" t="n"/>
      <c r="K202" s="6" t="inlineStr">
        <is>
          <t>pendente</t>
        </is>
      </c>
      <c r="L202" s="6" t="n"/>
      <c r="M202" s="5">
        <f>IF(H202="SIM",1,0)</f>
        <v/>
      </c>
      <c r="N202" s="5">
        <f>IF(AND(H202="SIM",K202="validado",I202&lt;&gt;""),1,0)</f>
        <v/>
      </c>
    </row>
    <row r="203">
      <c r="A203" s="5" t="inlineStr">
        <is>
          <t>ANEEL</t>
        </is>
      </c>
      <c r="B203" s="5" t="inlineStr">
        <is>
          <t>PRO.INI.II</t>
        </is>
      </c>
      <c r="C203" s="5" t="inlineStr">
        <is>
          <t>PRO</t>
        </is>
      </c>
      <c r="D203" s="5" t="n">
        <v>5</v>
      </c>
      <c r="E203" s="5" t="inlineStr">
        <is>
          <t>Inicial</t>
        </is>
      </c>
      <c r="F203" s="5" t="inlineStr">
        <is>
          <t>II</t>
        </is>
      </c>
      <c r="G203" s="5" t="inlineStr">
        <is>
          <t>As instâncias de aprovação estabelecidas são claras e formalizadas.</t>
        </is>
      </c>
      <c r="H203" s="6" t="n"/>
      <c r="I203" s="6" t="n"/>
      <c r="J203" s="6" t="n"/>
      <c r="K203" s="6" t="inlineStr">
        <is>
          <t>pendente</t>
        </is>
      </c>
      <c r="L203" s="6" t="n"/>
      <c r="M203" s="5">
        <f>IF(H203="SIM",1,0)</f>
        <v/>
      </c>
      <c r="N203" s="5">
        <f>IF(AND(H203="SIM",K203="validado",I203&lt;&gt;""),1,0)</f>
        <v/>
      </c>
    </row>
    <row r="204">
      <c r="A204" s="5" t="inlineStr">
        <is>
          <t>ANEEL</t>
        </is>
      </c>
      <c r="B204" s="5" t="inlineStr">
        <is>
          <t>ARR_CAP.MC.I</t>
        </is>
      </c>
      <c r="C204" s="5" t="inlineStr">
        <is>
          <t>ARR_CAP</t>
        </is>
      </c>
      <c r="D204" s="5" t="n">
        <v>6</v>
      </c>
      <c r="E204" s="5" t="inlineStr">
        <is>
          <t>Melhoria Contínua</t>
        </is>
      </c>
      <c r="F204" s="5" t="inlineStr">
        <is>
          <t>I</t>
        </is>
      </c>
      <c r="G204" s="5" t="inlineStr">
        <is>
          <t>Plano de capacitação formalizado e em execução, incluindo permanente reciclagem em ARR;</t>
        </is>
      </c>
      <c r="H204" s="6" t="n"/>
      <c r="I204" s="6" t="n"/>
      <c r="J204" s="6" t="n"/>
      <c r="K204" s="6" t="inlineStr">
        <is>
          <t>pendente</t>
        </is>
      </c>
      <c r="L204" s="6" t="n"/>
      <c r="M204" s="5">
        <f>IF(H204="SIM",1,0)</f>
        <v/>
      </c>
      <c r="N204" s="5">
        <f>IF(AND(H204="SIM",K204="validado",I204&lt;&gt;""),1,0)</f>
        <v/>
      </c>
    </row>
    <row r="205">
      <c r="A205" s="5" t="inlineStr">
        <is>
          <t>ANEEL</t>
        </is>
      </c>
      <c r="B205" s="5" t="inlineStr">
        <is>
          <t>ARR_CAP.GER.I</t>
        </is>
      </c>
      <c r="C205" s="5" t="inlineStr">
        <is>
          <t>ARR_CAP</t>
        </is>
      </c>
      <c r="D205" s="5" t="n">
        <v>6</v>
      </c>
      <c r="E205" s="5" t="inlineStr">
        <is>
          <t>Gerenciado</t>
        </is>
      </c>
      <c r="F205" s="5" t="inlineStr">
        <is>
          <t>I</t>
        </is>
      </c>
      <c r="G205" s="5" t="inlineStr">
        <is>
          <t>Capacitações institucionalizadas, sem um plano formalizado;</t>
        </is>
      </c>
      <c r="H205" s="6" t="n"/>
      <c r="I205" s="6" t="n"/>
      <c r="J205" s="6" t="n"/>
      <c r="K205" s="6" t="inlineStr">
        <is>
          <t>pendente</t>
        </is>
      </c>
      <c r="L205" s="6" t="n"/>
      <c r="M205" s="5">
        <f>IF(H205="SIM",1,0)</f>
        <v/>
      </c>
      <c r="N205" s="5">
        <f>IF(AND(H205="SIM",K205="validado",I205&lt;&gt;""),1,0)</f>
        <v/>
      </c>
    </row>
    <row r="206">
      <c r="A206" s="5" t="inlineStr">
        <is>
          <t>ANEEL</t>
        </is>
      </c>
      <c r="B206" s="5" t="inlineStr">
        <is>
          <t>ARR_CAP.INI.I</t>
        </is>
      </c>
      <c r="C206" s="5" t="inlineStr">
        <is>
          <t>ARR_CAP</t>
        </is>
      </c>
      <c r="D206" s="5" t="n">
        <v>6</v>
      </c>
      <c r="E206" s="5" t="inlineStr">
        <is>
          <t>Inicial</t>
        </is>
      </c>
      <c r="F206" s="5" t="inlineStr">
        <is>
          <t>I</t>
        </is>
      </c>
      <c r="G206" s="5" t="inlineStr">
        <is>
          <t>Capacitações não estão institucionalizadas;</t>
        </is>
      </c>
      <c r="H206" s="6" t="n"/>
      <c r="I206" s="6" t="n"/>
      <c r="J206" s="6" t="n"/>
      <c r="K206" s="6" t="inlineStr">
        <is>
          <t>pendente</t>
        </is>
      </c>
      <c r="L206" s="6" t="n"/>
      <c r="M206" s="5">
        <f>IF(H206="SIM",1,0)</f>
        <v/>
      </c>
      <c r="N206" s="5">
        <f>IF(AND(H206="SIM",K206="validado",I206&lt;&gt;""),1,0)</f>
        <v/>
      </c>
    </row>
    <row r="207">
      <c r="A207" s="5" t="inlineStr">
        <is>
          <t>ANEEL</t>
        </is>
      </c>
      <c r="B207" s="5" t="inlineStr">
        <is>
          <t>ARR_CAP.MC.II</t>
        </is>
      </c>
      <c r="C207" s="5" t="inlineStr">
        <is>
          <t>ARR_CAP</t>
        </is>
      </c>
      <c r="D207" s="5" t="n">
        <v>6</v>
      </c>
      <c r="E207" s="5" t="inlineStr">
        <is>
          <t>Melhoria Contínua</t>
        </is>
      </c>
      <c r="F207" s="5" t="inlineStr">
        <is>
          <t>II</t>
        </is>
      </c>
      <c r="G207" s="5" t="inlineStr">
        <is>
          <t>No mínimo, 75% dos servidores envolvidos em elaboração de regulação capacitados em ARR.</t>
        </is>
      </c>
      <c r="H207" s="6" t="n"/>
      <c r="I207" s="6" t="n"/>
      <c r="J207" s="6" t="n"/>
      <c r="K207" s="6" t="inlineStr">
        <is>
          <t>pendente</t>
        </is>
      </c>
      <c r="L207" s="6" t="n"/>
      <c r="M207" s="5">
        <f>IF(H207="SIM",1,0)</f>
        <v/>
      </c>
      <c r="N207" s="5">
        <f>IF(AND(H207="SIM",K207="validado",I207&lt;&gt;""),1,0)</f>
        <v/>
      </c>
    </row>
    <row r="208">
      <c r="A208" s="5" t="inlineStr">
        <is>
          <t>ANEEL</t>
        </is>
      </c>
      <c r="B208" s="5" t="inlineStr">
        <is>
          <t>ARR_CAP.GER.II</t>
        </is>
      </c>
      <c r="C208" s="5" t="inlineStr">
        <is>
          <t>ARR_CAP</t>
        </is>
      </c>
      <c r="D208" s="5" t="n">
        <v>6</v>
      </c>
      <c r="E208" s="5" t="inlineStr">
        <is>
          <t>Gerenciado</t>
        </is>
      </c>
      <c r="F208" s="5" t="inlineStr">
        <is>
          <t>II</t>
        </is>
      </c>
      <c r="G208" s="5" t="inlineStr">
        <is>
          <t>de 50% a 74% dos servidores envolvidos em elaboração de regulação capacitados em ARR;</t>
        </is>
      </c>
      <c r="H208" s="6" t="n"/>
      <c r="I208" s="6" t="n"/>
      <c r="J208" s="6" t="n"/>
      <c r="K208" s="6" t="inlineStr">
        <is>
          <t>pendente</t>
        </is>
      </c>
      <c r="L208" s="6" t="n"/>
      <c r="M208" s="5">
        <f>IF(H208="SIM",1,0)</f>
        <v/>
      </c>
      <c r="N208" s="5">
        <f>IF(AND(H208="SIM",K208="validado",I208&lt;&gt;""),1,0)</f>
        <v/>
      </c>
    </row>
    <row r="209">
      <c r="A209" s="5" t="inlineStr">
        <is>
          <t>ANEEL</t>
        </is>
      </c>
      <c r="B209" s="5" t="inlineStr">
        <is>
          <t>ARR_CAP.INI.II</t>
        </is>
      </c>
      <c r="C209" s="5" t="inlineStr">
        <is>
          <t>ARR_CAP</t>
        </is>
      </c>
      <c r="D209" s="5" t="n">
        <v>6</v>
      </c>
      <c r="E209" s="5" t="inlineStr">
        <is>
          <t>Inicial</t>
        </is>
      </c>
      <c r="F209" s="5" t="inlineStr">
        <is>
          <t>II</t>
        </is>
      </c>
      <c r="G209" s="5" t="inlineStr">
        <is>
          <t>de 25% a 49% dos servidores envolvidos em elaboração de regulação capacitados em ARR.</t>
        </is>
      </c>
      <c r="H209" s="6" t="n"/>
      <c r="I209" s="6" t="n"/>
      <c r="J209" s="6" t="n"/>
      <c r="K209" s="6" t="inlineStr">
        <is>
          <t>pendente</t>
        </is>
      </c>
      <c r="L209" s="6" t="n"/>
      <c r="M209" s="5">
        <f>IF(H209="SIM",1,0)</f>
        <v/>
      </c>
      <c r="N209" s="5">
        <f>IF(AND(H209="SIM",K209="validado",I209&lt;&gt;""),1,0)</f>
        <v/>
      </c>
    </row>
    <row r="210">
      <c r="A210" s="5" t="inlineStr">
        <is>
          <t>ANEEL</t>
        </is>
      </c>
      <c r="B210" s="5" t="inlineStr">
        <is>
          <t>ARR_MET.MC.I</t>
        </is>
      </c>
      <c r="C210" s="5" t="inlineStr">
        <is>
          <t>ARR_MET</t>
        </is>
      </c>
      <c r="D210" s="5" t="n">
        <v>6</v>
      </c>
      <c r="E210" s="5" t="inlineStr">
        <is>
          <t>Melhoria Contínua</t>
        </is>
      </c>
      <c r="F210" s="5" t="inlineStr">
        <is>
          <t>I</t>
        </is>
      </c>
      <c r="G210" s="5" t="inlineStr">
        <is>
          <t>Metodologia de elaboração de ARR contempla a participação social, conforme complexidade do ato;</t>
        </is>
      </c>
      <c r="H210" s="6" t="n"/>
      <c r="I210" s="6" t="n"/>
      <c r="J210" s="6" t="n"/>
      <c r="K210" s="6" t="inlineStr">
        <is>
          <t>pendente</t>
        </is>
      </c>
      <c r="L210" s="6" t="n"/>
      <c r="M210" s="5">
        <f>IF(H210="SIM",1,0)</f>
        <v/>
      </c>
      <c r="N210" s="5">
        <f>IF(AND(H210="SIM",K210="validado",I210&lt;&gt;""),1,0)</f>
        <v/>
      </c>
    </row>
    <row r="211">
      <c r="A211" s="5" t="inlineStr">
        <is>
          <t>ANEEL</t>
        </is>
      </c>
      <c r="B211" s="5" t="inlineStr">
        <is>
          <t>ARR_MET.GER.I</t>
        </is>
      </c>
      <c r="C211" s="5" t="inlineStr">
        <is>
          <t>ARR_MET</t>
        </is>
      </c>
      <c r="D211" s="5" t="n">
        <v>6</v>
      </c>
      <c r="E211" s="5" t="inlineStr">
        <is>
          <t>Gerenciado</t>
        </is>
      </c>
      <c r="F211" s="5" t="inlineStr">
        <is>
          <t>I</t>
        </is>
      </c>
      <c r="G211" s="5" t="inlineStr">
        <is>
          <t>Existência de manual ou ato normativo instituindo a aplicabilidade de ARR no órgão;</t>
        </is>
      </c>
      <c r="H211" s="6" t="n"/>
      <c r="I211" s="6" t="n"/>
      <c r="J211" s="6" t="n"/>
      <c r="K211" s="6" t="inlineStr">
        <is>
          <t>pendente</t>
        </is>
      </c>
      <c r="L211" s="6" t="n"/>
      <c r="M211" s="5">
        <f>IF(H211="SIM",1,0)</f>
        <v/>
      </c>
      <c r="N211" s="5">
        <f>IF(AND(H211="SIM",K211="validado",I211&lt;&gt;""),1,0)</f>
        <v/>
      </c>
    </row>
    <row r="212">
      <c r="A212" s="5" t="inlineStr">
        <is>
          <t>ANEEL</t>
        </is>
      </c>
      <c r="B212" s="5" t="inlineStr">
        <is>
          <t>ARR_MET.INI.I</t>
        </is>
      </c>
      <c r="C212" s="5" t="inlineStr">
        <is>
          <t>ARR_MET</t>
        </is>
      </c>
      <c r="D212" s="5" t="n">
        <v>6</v>
      </c>
      <c r="E212" s="5" t="inlineStr">
        <is>
          <t>Inicial</t>
        </is>
      </c>
      <c r="F212" s="5" t="inlineStr">
        <is>
          <t>I</t>
        </is>
      </c>
      <c r="G212" s="5" t="inlineStr">
        <is>
          <t>existe Agenda de ARR, conforme determinado no Decreto nº 10.411, de 2020.</t>
        </is>
      </c>
      <c r="H212" s="6" t="n"/>
      <c r="I212" s="6" t="n"/>
      <c r="J212" s="6" t="n"/>
      <c r="K212" s="6" t="inlineStr">
        <is>
          <t>pendente</t>
        </is>
      </c>
      <c r="L212" s="6" t="n"/>
      <c r="M212" s="5">
        <f>IF(H212="SIM",1,0)</f>
        <v/>
      </c>
      <c r="N212" s="5">
        <f>IF(AND(H212="SIM",K212="validado",I212&lt;&gt;""),1,0)</f>
        <v/>
      </c>
    </row>
    <row r="213">
      <c r="A213" s="5" t="inlineStr">
        <is>
          <t>ANEEL</t>
        </is>
      </c>
      <c r="B213" s="5" t="inlineStr">
        <is>
          <t>ARR_MET.MC.II</t>
        </is>
      </c>
      <c r="C213" s="5" t="inlineStr">
        <is>
          <t>ARR_MET</t>
        </is>
      </c>
      <c r="D213" s="5" t="n">
        <v>6</v>
      </c>
      <c r="E213" s="5" t="inlineStr">
        <is>
          <t>Melhoria Contínua</t>
        </is>
      </c>
      <c r="F213" s="5" t="inlineStr">
        <is>
          <t>II</t>
        </is>
      </c>
      <c r="G213" s="5" t="inlineStr">
        <is>
          <t>Existência de Agenda de ARR integrada com a Agenda Regulatória.</t>
        </is>
      </c>
      <c r="H213" s="6" t="n"/>
      <c r="I213" s="6" t="n"/>
      <c r="J213" s="6" t="n"/>
      <c r="K213" s="6" t="inlineStr">
        <is>
          <t>pendente</t>
        </is>
      </c>
      <c r="L213" s="6" t="n"/>
      <c r="M213" s="5">
        <f>IF(H213="SIM",1,0)</f>
        <v/>
      </c>
      <c r="N213" s="5">
        <f>IF(AND(H213="SIM",K213="validado",I213&lt;&gt;""),1,0)</f>
        <v/>
      </c>
    </row>
    <row r="214">
      <c r="A214" s="5" t="inlineStr">
        <is>
          <t>ANEEL</t>
        </is>
      </c>
      <c r="B214" s="5" t="inlineStr">
        <is>
          <t>ARR_MET.GER.II</t>
        </is>
      </c>
      <c r="C214" s="5" t="inlineStr">
        <is>
          <t>ARR_MET</t>
        </is>
      </c>
      <c r="D214" s="5" t="n">
        <v>6</v>
      </c>
      <c r="E214" s="5" t="inlineStr">
        <is>
          <t>Gerenciado</t>
        </is>
      </c>
      <c r="F214" s="5" t="inlineStr">
        <is>
          <t>II</t>
        </is>
      </c>
      <c r="G214" s="5" t="inlineStr">
        <is>
          <t>Metodologia de elaboração da Agenda de ARR contempla participação social.</t>
        </is>
      </c>
      <c r="H214" s="6" t="n"/>
      <c r="I214" s="6" t="n"/>
      <c r="J214" s="6" t="n"/>
      <c r="K214" s="6" t="inlineStr">
        <is>
          <t>pendente</t>
        </is>
      </c>
      <c r="L214" s="6" t="n"/>
      <c r="M214" s="5">
        <f>IF(H214="SIM",1,0)</f>
        <v/>
      </c>
      <c r="N214" s="5">
        <f>IF(AND(H214="SIM",K214="validado",I214&lt;&gt;""),1,0)</f>
        <v/>
      </c>
    </row>
    <row r="215">
      <c r="A215" s="5" t="inlineStr">
        <is>
          <t>ANEEL</t>
        </is>
      </c>
      <c r="B215" s="5" t="inlineStr">
        <is>
          <t>ARR_PRO.MC.I</t>
        </is>
      </c>
      <c r="C215" s="5" t="inlineStr">
        <is>
          <t>ARR_PRO</t>
        </is>
      </c>
      <c r="D215" s="5" t="n">
        <v>6</v>
      </c>
      <c r="E215" s="5" t="inlineStr">
        <is>
          <t>Melhoria Contínua</t>
        </is>
      </c>
      <c r="F215" s="5" t="inlineStr">
        <is>
          <t>I</t>
        </is>
      </c>
      <c r="G215" s="5" t="inlineStr">
        <is>
          <t>Há processo contínuo de avaliação e melhoria do processo de elaboração de ARR;</t>
        </is>
      </c>
      <c r="H215" s="6" t="n"/>
      <c r="I215" s="6" t="n"/>
      <c r="J215" s="6" t="n"/>
      <c r="K215" s="6" t="inlineStr">
        <is>
          <t>pendente</t>
        </is>
      </c>
      <c r="L215" s="6" t="n"/>
      <c r="M215" s="5">
        <f>IF(H215="SIM",1,0)</f>
        <v/>
      </c>
      <c r="N215" s="5">
        <f>IF(AND(H215="SIM",K215="validado",I215&lt;&gt;""),1,0)</f>
        <v/>
      </c>
    </row>
    <row r="216">
      <c r="A216" s="5" t="inlineStr">
        <is>
          <t>ANEEL</t>
        </is>
      </c>
      <c r="B216" s="5" t="inlineStr">
        <is>
          <t>ARR_PRO.GER.I</t>
        </is>
      </c>
      <c r="C216" s="5" t="inlineStr">
        <is>
          <t>ARR_PRO</t>
        </is>
      </c>
      <c r="D216" s="5" t="n">
        <v>6</v>
      </c>
      <c r="E216" s="5" t="inlineStr">
        <is>
          <t>Gerenciado</t>
        </is>
      </c>
      <c r="F216" s="5" t="inlineStr">
        <is>
          <t>I</t>
        </is>
      </c>
      <c r="G216" s="5" t="inlineStr">
        <is>
          <t>ARR é realizada conforme manual ou ato normativo;</t>
        </is>
      </c>
      <c r="H216" s="6" t="n"/>
      <c r="I216" s="6" t="n"/>
      <c r="J216" s="6" t="n"/>
      <c r="K216" s="6" t="inlineStr">
        <is>
          <t>pendente</t>
        </is>
      </c>
      <c r="L216" s="6" t="n"/>
      <c r="M216" s="5">
        <f>IF(H216="SIM",1,0)</f>
        <v/>
      </c>
      <c r="N216" s="5">
        <f>IF(AND(H216="SIM",K216="validado",I216&lt;&gt;""),1,0)</f>
        <v/>
      </c>
    </row>
    <row r="217">
      <c r="A217" s="5" t="inlineStr">
        <is>
          <t>ANEEL</t>
        </is>
      </c>
      <c r="B217" s="5" t="inlineStr">
        <is>
          <t>ARR_PRO.INI.I</t>
        </is>
      </c>
      <c r="C217" s="5" t="inlineStr">
        <is>
          <t>ARR_PRO</t>
        </is>
      </c>
      <c r="D217" s="5" t="n">
        <v>6</v>
      </c>
      <c r="E217" s="5" t="inlineStr">
        <is>
          <t>Inicial</t>
        </is>
      </c>
      <c r="F217" s="5" t="inlineStr">
        <is>
          <t>I</t>
        </is>
      </c>
      <c r="G217" s="5" t="inlineStr">
        <is>
          <t>Todas as ARRs são publicadas e acessíveis ao público na internet;</t>
        </is>
      </c>
      <c r="H217" s="6" t="n"/>
      <c r="I217" s="6" t="n"/>
      <c r="J217" s="6" t="n"/>
      <c r="K217" s="6" t="inlineStr">
        <is>
          <t>pendente</t>
        </is>
      </c>
      <c r="L217" s="6" t="n"/>
      <c r="M217" s="5">
        <f>IF(H217="SIM",1,0)</f>
        <v/>
      </c>
      <c r="N217" s="5">
        <f>IF(AND(H217="SIM",K217="validado",I217&lt;&gt;""),1,0)</f>
        <v/>
      </c>
    </row>
    <row r="218">
      <c r="A218" s="5" t="inlineStr">
        <is>
          <t>ANEEL</t>
        </is>
      </c>
      <c r="B218" s="5" t="inlineStr">
        <is>
          <t>ARR_PRO.MC.II</t>
        </is>
      </c>
      <c r="C218" s="5" t="inlineStr">
        <is>
          <t>ARR_PRO</t>
        </is>
      </c>
      <c r="D218" s="5" t="n">
        <v>6</v>
      </c>
      <c r="E218" s="5" t="inlineStr">
        <is>
          <t>Melhoria Contínua</t>
        </is>
      </c>
      <c r="F218" s="5" t="inlineStr">
        <is>
          <t>II</t>
        </is>
      </c>
      <c r="G218" s="5" t="inlineStr">
        <is>
          <t>A execução da Agenda de ARR é periodicamente monitorada e divulgada.</t>
        </is>
      </c>
      <c r="H218" s="6" t="n"/>
      <c r="I218" s="6" t="n"/>
      <c r="J218" s="6" t="n"/>
      <c r="K218" s="6" t="inlineStr">
        <is>
          <t>pendente</t>
        </is>
      </c>
      <c r="L218" s="6" t="n"/>
      <c r="M218" s="5">
        <f>IF(H218="SIM",1,0)</f>
        <v/>
      </c>
      <c r="N218" s="5">
        <f>IF(AND(H218="SIM",K218="validado",I218&lt;&gt;""),1,0)</f>
        <v/>
      </c>
    </row>
    <row r="219">
      <c r="A219" s="5" t="inlineStr">
        <is>
          <t>ANEEL</t>
        </is>
      </c>
      <c r="B219" s="5" t="inlineStr">
        <is>
          <t>ARR_PRO.GER.II</t>
        </is>
      </c>
      <c r="C219" s="5" t="inlineStr">
        <is>
          <t>ARR_PRO</t>
        </is>
      </c>
      <c r="D219" s="5" t="n">
        <v>6</v>
      </c>
      <c r="E219" s="5" t="inlineStr">
        <is>
          <t>Gerenciado</t>
        </is>
      </c>
      <c r="F219" s="5" t="inlineStr">
        <is>
          <t>II</t>
        </is>
      </c>
      <c r="G219" s="5" t="inlineStr">
        <is>
          <t>ARRs de alto impacto/alta complexidade foram submetidas à participação social.</t>
        </is>
      </c>
      <c r="H219" s="6" t="n"/>
      <c r="I219" s="6" t="n"/>
      <c r="J219" s="6" t="n"/>
      <c r="K219" s="6" t="inlineStr">
        <is>
          <t>pendente</t>
        </is>
      </c>
      <c r="L219" s="6" t="n"/>
      <c r="M219" s="5">
        <f>IF(H219="SIM",1,0)</f>
        <v/>
      </c>
      <c r="N219" s="5">
        <f>IF(AND(H219="SIM",K219="validado",I219&lt;&gt;""),1,0)</f>
        <v/>
      </c>
    </row>
    <row r="220">
      <c r="A220" s="5" t="inlineStr">
        <is>
          <t>ANEEL</t>
        </is>
      </c>
      <c r="B220" s="5" t="inlineStr">
        <is>
          <t>ARR_PRO.INI.II</t>
        </is>
      </c>
      <c r="C220" s="5" t="inlineStr">
        <is>
          <t>ARR_PRO</t>
        </is>
      </c>
      <c r="D220" s="5" t="n">
        <v>6</v>
      </c>
      <c r="E220" s="5" t="inlineStr">
        <is>
          <t>Inicial</t>
        </is>
      </c>
      <c r="F220" s="5" t="inlineStr">
        <is>
          <t>II</t>
        </is>
      </c>
      <c r="G220" s="5" t="inlineStr">
        <is>
          <t>A agenda de ARR está publicada no site do órgão.</t>
        </is>
      </c>
      <c r="H220" s="6" t="n"/>
      <c r="I220" s="6" t="n"/>
      <c r="J220" s="6" t="n"/>
      <c r="K220" s="6" t="inlineStr">
        <is>
          <t>pendente</t>
        </is>
      </c>
      <c r="L220" s="6" t="n"/>
      <c r="M220" s="5">
        <f>IF(H220="SIM",1,0)</f>
        <v/>
      </c>
      <c r="N220" s="5">
        <f>IF(AND(H220="SIM",K220="validado",I220&lt;&gt;""),1,0)</f>
        <v/>
      </c>
    </row>
    <row r="221">
      <c r="A221" s="5" t="inlineStr">
        <is>
          <t>ANTT</t>
        </is>
      </c>
      <c r="B221" s="5" t="inlineStr">
        <is>
          <t>AIR_CAP.MC.I</t>
        </is>
      </c>
      <c r="C221" s="5" t="inlineStr">
        <is>
          <t>AIR_CAP</t>
        </is>
      </c>
      <c r="D221" s="5" t="n">
        <v>1</v>
      </c>
      <c r="E221" s="5" t="inlineStr">
        <is>
          <t>Melhoria Contínua</t>
        </is>
      </c>
      <c r="F221" s="5" t="inlineStr">
        <is>
          <t>I</t>
        </is>
      </c>
      <c r="G221" s="5" t="inlineStr">
        <is>
          <t>Plano de capacitação formalizado e em execução, incluindo permanente reciclagem em técnicas de AIR;</t>
        </is>
      </c>
      <c r="H221" s="6" t="n"/>
      <c r="I221" s="6" t="n"/>
      <c r="J221" s="6" t="n"/>
      <c r="K221" s="6" t="inlineStr">
        <is>
          <t>pendente</t>
        </is>
      </c>
      <c r="L221" s="6" t="n"/>
      <c r="M221" s="5">
        <f>IF(H221="SIM",1,0)</f>
        <v/>
      </c>
      <c r="N221" s="5">
        <f>IF(AND(H221="SIM",K221="validado",I221&lt;&gt;""),1,0)</f>
        <v/>
      </c>
    </row>
    <row r="222">
      <c r="A222" s="5" t="inlineStr">
        <is>
          <t>ANTT</t>
        </is>
      </c>
      <c r="B222" s="5" t="inlineStr">
        <is>
          <t>AIR_CAP.GER.I</t>
        </is>
      </c>
      <c r="C222" s="5" t="inlineStr">
        <is>
          <t>AIR_CAP</t>
        </is>
      </c>
      <c r="D222" s="5" t="n">
        <v>1</v>
      </c>
      <c r="E222" s="5" t="inlineStr">
        <is>
          <t>Gerenciado</t>
        </is>
      </c>
      <c r="F222" s="5" t="inlineStr">
        <is>
          <t>I</t>
        </is>
      </c>
      <c r="G222" s="5" t="inlineStr">
        <is>
          <t>Capacitações em AIR estão institucionalizadas, sem um plano formalizado;</t>
        </is>
      </c>
      <c r="H222" s="6" t="n"/>
      <c r="I222" s="6" t="n"/>
      <c r="J222" s="6" t="n"/>
      <c r="K222" s="6" t="inlineStr">
        <is>
          <t>pendente</t>
        </is>
      </c>
      <c r="L222" s="6" t="n"/>
      <c r="M222" s="5">
        <f>IF(H222="SIM",1,0)</f>
        <v/>
      </c>
      <c r="N222" s="5">
        <f>IF(AND(H222="SIM",K222="validado",I222&lt;&gt;""),1,0)</f>
        <v/>
      </c>
    </row>
    <row r="223">
      <c r="A223" s="5" t="inlineStr">
        <is>
          <t>ANTT</t>
        </is>
      </c>
      <c r="B223" s="5" t="inlineStr">
        <is>
          <t>AIR_CAP.INI.I</t>
        </is>
      </c>
      <c r="C223" s="5" t="inlineStr">
        <is>
          <t>AIR_CAP</t>
        </is>
      </c>
      <c r="D223" s="5" t="n">
        <v>1</v>
      </c>
      <c r="E223" s="5" t="inlineStr">
        <is>
          <t>Inicial</t>
        </is>
      </c>
      <c r="F223" s="5" t="inlineStr">
        <is>
          <t>I</t>
        </is>
      </c>
      <c r="G223" s="5" t="inlineStr">
        <is>
          <t>Capacitações em AIR não estão institucionalizadas;</t>
        </is>
      </c>
      <c r="H223" s="6" t="n"/>
      <c r="I223" s="6" t="n"/>
      <c r="J223" s="6" t="n"/>
      <c r="K223" s="6" t="inlineStr">
        <is>
          <t>pendente</t>
        </is>
      </c>
      <c r="L223" s="6" t="n"/>
      <c r="M223" s="5">
        <f>IF(H223="SIM",1,0)</f>
        <v/>
      </c>
      <c r="N223" s="5">
        <f>IF(AND(H223="SIM",K223="validado",I223&lt;&gt;""),1,0)</f>
        <v/>
      </c>
    </row>
    <row r="224">
      <c r="A224" s="5" t="inlineStr">
        <is>
          <t>ANTT</t>
        </is>
      </c>
      <c r="B224" s="5" t="inlineStr">
        <is>
          <t>AIR_CAP.MC.II</t>
        </is>
      </c>
      <c r="C224" s="5" t="inlineStr">
        <is>
          <t>AIR_CAP</t>
        </is>
      </c>
      <c r="D224" s="5" t="n">
        <v>1</v>
      </c>
      <c r="E224" s="5" t="inlineStr">
        <is>
          <t>Melhoria Contínua</t>
        </is>
      </c>
      <c r="F224" s="5" t="inlineStr">
        <is>
          <t>II</t>
        </is>
      </c>
      <c r="G224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24" s="6" t="n"/>
      <c r="I224" s="6" t="n"/>
      <c r="J224" s="6" t="n"/>
      <c r="K224" s="6" t="inlineStr">
        <is>
          <t>pendente</t>
        </is>
      </c>
      <c r="L224" s="6" t="n"/>
      <c r="M224" s="5">
        <f>IF(H224="SIM",1,0)</f>
        <v/>
      </c>
      <c r="N224" s="5">
        <f>IF(AND(H224="SIM",K224="validado",I224&lt;&gt;""),1,0)</f>
        <v/>
      </c>
    </row>
    <row r="225">
      <c r="A225" s="5" t="inlineStr">
        <is>
          <t>ANTT</t>
        </is>
      </c>
      <c r="B225" s="5" t="inlineStr">
        <is>
          <t>AIR_CAP.GER.II</t>
        </is>
      </c>
      <c r="C225" s="5" t="inlineStr">
        <is>
          <t>AIR_CAP</t>
        </is>
      </c>
      <c r="D225" s="5" t="n">
        <v>1</v>
      </c>
      <c r="E225" s="5" t="inlineStr">
        <is>
          <t>Gerenciado</t>
        </is>
      </c>
      <c r="F225" s="5" t="inlineStr">
        <is>
          <t>II</t>
        </is>
      </c>
      <c r="G225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225" s="6" t="n"/>
      <c r="I225" s="6" t="n"/>
      <c r="J225" s="6" t="n"/>
      <c r="K225" s="6" t="inlineStr">
        <is>
          <t>pendente</t>
        </is>
      </c>
      <c r="L225" s="6" t="n"/>
      <c r="M225" s="5">
        <f>IF(H225="SIM",1,0)</f>
        <v/>
      </c>
      <c r="N225" s="5">
        <f>IF(AND(H225="SIM",K225="validado",I225&lt;&gt;""),1,0)</f>
        <v/>
      </c>
    </row>
    <row r="226">
      <c r="A226" s="5" t="inlineStr">
        <is>
          <t>ANTT</t>
        </is>
      </c>
      <c r="B226" s="5" t="inlineStr">
        <is>
          <t>AIR_CAP.INI.II</t>
        </is>
      </c>
      <c r="C226" s="5" t="inlineStr">
        <is>
          <t>AIR_CAP</t>
        </is>
      </c>
      <c r="D226" s="5" t="n">
        <v>1</v>
      </c>
      <c r="E226" s="5" t="inlineStr">
        <is>
          <t>Inicial</t>
        </is>
      </c>
      <c r="F226" s="5" t="inlineStr">
        <is>
          <t>II</t>
        </is>
      </c>
      <c r="G226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226" s="6" t="n"/>
      <c r="I226" s="6" t="n"/>
      <c r="J226" s="6" t="n"/>
      <c r="K226" s="6" t="inlineStr">
        <is>
          <t>pendente</t>
        </is>
      </c>
      <c r="L226" s="6" t="n"/>
      <c r="M226" s="5">
        <f>IF(H226="SIM",1,0)</f>
        <v/>
      </c>
      <c r="N226" s="5">
        <f>IF(AND(H226="SIM",K226="validado",I226&lt;&gt;""),1,0)</f>
        <v/>
      </c>
    </row>
    <row r="227">
      <c r="A227" s="5" t="inlineStr">
        <is>
          <t>ANTT</t>
        </is>
      </c>
      <c r="B227" s="5" t="inlineStr">
        <is>
          <t>AIR_CAP.MC.III</t>
        </is>
      </c>
      <c r="C227" s="5" t="inlineStr">
        <is>
          <t>AIR_CAP</t>
        </is>
      </c>
      <c r="D227" s="5" t="n">
        <v>1</v>
      </c>
      <c r="E227" s="5" t="inlineStr">
        <is>
          <t>Melhoria Contínua</t>
        </is>
      </c>
      <c r="F227" s="5" t="inlineStr">
        <is>
          <t>III</t>
        </is>
      </c>
      <c r="G227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227" s="6" t="n"/>
      <c r="I227" s="6" t="n"/>
      <c r="J227" s="6" t="n"/>
      <c r="K227" s="6" t="inlineStr">
        <is>
          <t>pendente</t>
        </is>
      </c>
      <c r="L227" s="6" t="n"/>
      <c r="M227" s="5">
        <f>IF(H227="SIM",1,0)</f>
        <v/>
      </c>
      <c r="N227" s="5">
        <f>IF(AND(H227="SIM",K227="validado",I227&lt;&gt;""),1,0)</f>
        <v/>
      </c>
    </row>
    <row r="228">
      <c r="A228" s="5" t="inlineStr">
        <is>
          <t>ANTT</t>
        </is>
      </c>
      <c r="B228" s="5" t="inlineStr">
        <is>
          <t>AIR_CAP.GER.III</t>
        </is>
      </c>
      <c r="C228" s="5" t="inlineStr">
        <is>
          <t>AIR_CAP</t>
        </is>
      </c>
      <c r="D228" s="5" t="n">
        <v>1</v>
      </c>
      <c r="E228" s="5" t="inlineStr">
        <is>
          <t>Gerenciado</t>
        </is>
      </c>
      <c r="F228" s="5" t="inlineStr">
        <is>
          <t>III</t>
        </is>
      </c>
      <c r="G228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28" s="6" t="n"/>
      <c r="I228" s="6" t="n"/>
      <c r="J228" s="6" t="n"/>
      <c r="K228" s="6" t="inlineStr">
        <is>
          <t>pendente</t>
        </is>
      </c>
      <c r="L228" s="6" t="n"/>
      <c r="M228" s="5">
        <f>IF(H228="SIM",1,0)</f>
        <v/>
      </c>
      <c r="N228" s="5">
        <f>IF(AND(H228="SIM",K228="validado",I228&lt;&gt;""),1,0)</f>
        <v/>
      </c>
    </row>
    <row r="229">
      <c r="A229" s="5" t="inlineStr">
        <is>
          <t>ANTT</t>
        </is>
      </c>
      <c r="B229" s="5" t="inlineStr">
        <is>
          <t>AIR_CAP.INI.III</t>
        </is>
      </c>
      <c r="C229" s="5" t="inlineStr">
        <is>
          <t>AIR_CAP</t>
        </is>
      </c>
      <c r="D229" s="5" t="n">
        <v>1</v>
      </c>
      <c r="E229" s="5" t="inlineStr">
        <is>
          <t>Inicial</t>
        </is>
      </c>
      <c r="F229" s="5" t="inlineStr">
        <is>
          <t>III</t>
        </is>
      </c>
      <c r="G229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229" s="6" t="n"/>
      <c r="I229" s="6" t="n"/>
      <c r="J229" s="6" t="n"/>
      <c r="K229" s="6" t="inlineStr">
        <is>
          <t>pendente</t>
        </is>
      </c>
      <c r="L229" s="6" t="n"/>
      <c r="M229" s="5">
        <f>IF(H229="SIM",1,0)</f>
        <v/>
      </c>
      <c r="N229" s="5">
        <f>IF(AND(H229="SIM",K229="validado",I229&lt;&gt;""),1,0)</f>
        <v/>
      </c>
    </row>
    <row r="230">
      <c r="A230" s="5" t="inlineStr">
        <is>
          <t>ANTT</t>
        </is>
      </c>
      <c r="B230" s="5" t="inlineStr">
        <is>
          <t>AIR_CAP.GER.IV</t>
        </is>
      </c>
      <c r="C230" s="5" t="inlineStr">
        <is>
          <t>AIR_CAP</t>
        </is>
      </c>
      <c r="D230" s="5" t="n">
        <v>1</v>
      </c>
      <c r="E230" s="5" t="inlineStr">
        <is>
          <t>Gerenciado</t>
        </is>
      </c>
      <c r="F230" s="5" t="inlineStr">
        <is>
          <t>IV</t>
        </is>
      </c>
      <c r="G230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230" s="6" t="n"/>
      <c r="I230" s="6" t="n"/>
      <c r="J230" s="6" t="n"/>
      <c r="K230" s="6" t="inlineStr">
        <is>
          <t>pendente</t>
        </is>
      </c>
      <c r="L230" s="6" t="n"/>
      <c r="M230" s="5">
        <f>IF(H230="SIM",1,0)</f>
        <v/>
      </c>
      <c r="N230" s="5">
        <f>IF(AND(H230="SIM",K230="validado",I230&lt;&gt;""),1,0)</f>
        <v/>
      </c>
    </row>
    <row r="231">
      <c r="A231" s="5" t="inlineStr">
        <is>
          <t>ANTT</t>
        </is>
      </c>
      <c r="B231" s="5" t="inlineStr">
        <is>
          <t>AIR_MET.MC.I</t>
        </is>
      </c>
      <c r="C231" s="5" t="inlineStr">
        <is>
          <t>AIR_MET</t>
        </is>
      </c>
      <c r="D231" s="5" t="n">
        <v>1</v>
      </c>
      <c r="E231" s="5" t="inlineStr">
        <is>
          <t>Melhoria Contínua</t>
        </is>
      </c>
      <c r="F231" s="5" t="inlineStr">
        <is>
          <t>I</t>
        </is>
      </c>
      <c r="G231" s="5" t="inlineStr">
        <is>
          <t>Critérios objetivos estabelecidos para classificação quanto ao nível de impacto e complexidade da AIR;</t>
        </is>
      </c>
      <c r="H231" s="6" t="n"/>
      <c r="I231" s="6" t="n"/>
      <c r="J231" s="6" t="n"/>
      <c r="K231" s="6" t="inlineStr">
        <is>
          <t>pendente</t>
        </is>
      </c>
      <c r="L231" s="6" t="n"/>
      <c r="M231" s="5">
        <f>IF(H231="SIM",1,0)</f>
        <v/>
      </c>
      <c r="N231" s="5">
        <f>IF(AND(H231="SIM",K231="validado",I231&lt;&gt;""),1,0)</f>
        <v/>
      </c>
    </row>
    <row r="232">
      <c r="A232" s="5" t="inlineStr">
        <is>
          <t>ANTT</t>
        </is>
      </c>
      <c r="B232" s="5" t="inlineStr">
        <is>
          <t>AIR_MET.GER.I</t>
        </is>
      </c>
      <c r="C232" s="5" t="inlineStr">
        <is>
          <t>AIR_MET</t>
        </is>
      </c>
      <c r="D232" s="5" t="n">
        <v>1</v>
      </c>
      <c r="E232" s="5" t="inlineStr">
        <is>
          <t>Gerenciado</t>
        </is>
      </c>
      <c r="F232" s="5" t="inlineStr">
        <is>
          <t>I</t>
        </is>
      </c>
      <c r="G232" s="5" t="inlineStr">
        <is>
          <t>Existência de manual ou ato normativo interno instituindo a aplicabilidade institucional da AIR;</t>
        </is>
      </c>
      <c r="H232" s="6" t="n"/>
      <c r="I232" s="6" t="n"/>
      <c r="J232" s="6" t="n"/>
      <c r="K232" s="6" t="inlineStr">
        <is>
          <t>pendente</t>
        </is>
      </c>
      <c r="L232" s="6" t="n"/>
      <c r="M232" s="5">
        <f>IF(H232="SIM",1,0)</f>
        <v/>
      </c>
      <c r="N232" s="5">
        <f>IF(AND(H232="SIM",K232="validado",I232&lt;&gt;""),1,0)</f>
        <v/>
      </c>
    </row>
    <row r="233">
      <c r="A233" s="5" t="inlineStr">
        <is>
          <t>ANTT</t>
        </is>
      </c>
      <c r="B233" s="5" t="inlineStr">
        <is>
          <t>AIR_MET.INI.I</t>
        </is>
      </c>
      <c r="C233" s="5" t="inlineStr">
        <is>
          <t>AIR_MET</t>
        </is>
      </c>
      <c r="D233" s="5" t="n">
        <v>1</v>
      </c>
      <c r="E233" s="5" t="inlineStr">
        <is>
          <t>Inicial</t>
        </is>
      </c>
      <c r="F233" s="5" t="inlineStr">
        <is>
          <t>I</t>
        </is>
      </c>
      <c r="G233" s="5" t="inlineStr">
        <is>
          <t>houve a publicação de normativo interno dispondo sobre a aplicação da AIR na instituição, conforme Decreto nº 10.411, de 2020.</t>
        </is>
      </c>
      <c r="H233" s="6" t="n"/>
      <c r="I233" s="6" t="n"/>
      <c r="J233" s="6" t="n"/>
      <c r="K233" s="6" t="inlineStr">
        <is>
          <t>pendente</t>
        </is>
      </c>
      <c r="L233" s="6" t="n"/>
      <c r="M233" s="5">
        <f>IF(H233="SIM",1,0)</f>
        <v/>
      </c>
      <c r="N233" s="5">
        <f>IF(AND(H233="SIM",K233="validado",I233&lt;&gt;""),1,0)</f>
        <v/>
      </c>
    </row>
    <row r="234">
      <c r="A234" s="5" t="inlineStr">
        <is>
          <t>ANTT</t>
        </is>
      </c>
      <c r="B234" s="5" t="inlineStr">
        <is>
          <t>AIR_MET.MC.II</t>
        </is>
      </c>
      <c r="C234" s="5" t="inlineStr">
        <is>
          <t>AIR_MET</t>
        </is>
      </c>
      <c r="D234" s="5" t="n">
        <v>1</v>
      </c>
      <c r="E234" s="5" t="inlineStr">
        <is>
          <t>Melhoria Contínua</t>
        </is>
      </c>
      <c r="F234" s="5" t="inlineStr">
        <is>
          <t>II</t>
        </is>
      </c>
      <c r="G234" s="5" t="inlineStr">
        <is>
          <t>Metodologia contempla participação social prévia e posterior à elaboração da AIR, conforme complexidade do ato.</t>
        </is>
      </c>
      <c r="H234" s="6" t="n"/>
      <c r="I234" s="6" t="n"/>
      <c r="J234" s="6" t="n"/>
      <c r="K234" s="6" t="inlineStr">
        <is>
          <t>pendente</t>
        </is>
      </c>
      <c r="L234" s="6" t="n"/>
      <c r="M234" s="5">
        <f>IF(H234="SIM",1,0)</f>
        <v/>
      </c>
      <c r="N234" s="5">
        <f>IF(AND(H234="SIM",K234="validado",I234&lt;&gt;""),1,0)</f>
        <v/>
      </c>
    </row>
    <row r="235">
      <c r="A235" s="5" t="inlineStr">
        <is>
          <t>ANTT</t>
        </is>
      </c>
      <c r="B235" s="5" t="inlineStr">
        <is>
          <t>AIR_MET.GER.II</t>
        </is>
      </c>
      <c r="C235" s="5" t="inlineStr">
        <is>
          <t>AIR_MET</t>
        </is>
      </c>
      <c r="D235" s="5" t="n">
        <v>1</v>
      </c>
      <c r="E235" s="5" t="inlineStr">
        <is>
          <t>Gerenciado</t>
        </is>
      </c>
      <c r="F235" s="5" t="inlineStr">
        <is>
          <t>II</t>
        </is>
      </c>
      <c r="G235" s="5" t="inlineStr">
        <is>
          <t>Existência de manual ou ato normativo dispondo sobre a participação social posterior relativa à AIR.</t>
        </is>
      </c>
      <c r="H235" s="6" t="n"/>
      <c r="I235" s="6" t="n"/>
      <c r="J235" s="6" t="n"/>
      <c r="K235" s="6" t="inlineStr">
        <is>
          <t>pendente</t>
        </is>
      </c>
      <c r="L235" s="6" t="n"/>
      <c r="M235" s="5">
        <f>IF(H235="SIM",1,0)</f>
        <v/>
      </c>
      <c r="N235" s="5">
        <f>IF(AND(H235="SIM",K235="validado",I235&lt;&gt;""),1,0)</f>
        <v/>
      </c>
    </row>
    <row r="236">
      <c r="A236" s="5" t="inlineStr">
        <is>
          <t>ANTT</t>
        </is>
      </c>
      <c r="B236" s="5" t="inlineStr">
        <is>
          <t>AIR_PRO.MC.I</t>
        </is>
      </c>
      <c r="C236" s="5" t="inlineStr">
        <is>
          <t>AIR_PRO</t>
        </is>
      </c>
      <c r="D236" s="5" t="n">
        <v>1</v>
      </c>
      <c r="E236" s="5" t="inlineStr">
        <is>
          <t>Melhoria Contínua</t>
        </is>
      </c>
      <c r="F236" s="5" t="inlineStr">
        <is>
          <t>I</t>
        </is>
      </c>
      <c r="G236" s="5" t="inlineStr">
        <is>
          <t>Há processo contínuo de avaliação e melhoria do processo de elaboração de AIR;</t>
        </is>
      </c>
      <c r="H236" s="6" t="n"/>
      <c r="I236" s="6" t="n"/>
      <c r="J236" s="6" t="n"/>
      <c r="K236" s="6" t="inlineStr">
        <is>
          <t>pendente</t>
        </is>
      </c>
      <c r="L236" s="6" t="n"/>
      <c r="M236" s="5">
        <f>IF(H236="SIM",1,0)</f>
        <v/>
      </c>
      <c r="N236" s="5">
        <f>IF(AND(H236="SIM",K236="validado",I236&lt;&gt;""),1,0)</f>
        <v/>
      </c>
    </row>
    <row r="237">
      <c r="A237" s="5" t="inlineStr">
        <is>
          <t>ANTT</t>
        </is>
      </c>
      <c r="B237" s="5" t="inlineStr">
        <is>
          <t>AIR_PRO.GER.I</t>
        </is>
      </c>
      <c r="C237" s="5" t="inlineStr">
        <is>
          <t>AIR_PRO</t>
        </is>
      </c>
      <c r="D237" s="5" t="n">
        <v>1</v>
      </c>
      <c r="E237" s="5" t="inlineStr">
        <is>
          <t>Gerenciado</t>
        </is>
      </c>
      <c r="F237" s="5" t="inlineStr">
        <is>
          <t>I</t>
        </is>
      </c>
      <c r="G237" s="5" t="inlineStr">
        <is>
          <t>Todas as AIRs são sempre realizadas conforme manual ou ato normativo interno e publicadas e acessíveis ao público na internet;</t>
        </is>
      </c>
      <c r="H237" s="6" t="n"/>
      <c r="I237" s="6" t="n"/>
      <c r="J237" s="6" t="n"/>
      <c r="K237" s="6" t="inlineStr">
        <is>
          <t>pendente</t>
        </is>
      </c>
      <c r="L237" s="6" t="n"/>
      <c r="M237" s="5">
        <f>IF(H237="SIM",1,0)</f>
        <v/>
      </c>
      <c r="N237" s="5">
        <f>IF(AND(H237="SIM",K237="validado",I237&lt;&gt;""),1,0)</f>
        <v/>
      </c>
    </row>
    <row r="238">
      <c r="A238" s="5" t="inlineStr">
        <is>
          <t>ANTT</t>
        </is>
      </c>
      <c r="B238" s="5" t="inlineStr">
        <is>
          <t>AIR_PRO.INI.I</t>
        </is>
      </c>
      <c r="C238" s="5" t="inlineStr">
        <is>
          <t>AIR_PRO</t>
        </is>
      </c>
      <c r="D238" s="5" t="n">
        <v>1</v>
      </c>
      <c r="E238" s="5" t="inlineStr">
        <is>
          <t>Inicial</t>
        </is>
      </c>
      <c r="F238" s="5" t="inlineStr">
        <is>
          <t>I</t>
        </is>
      </c>
      <c r="G238" s="5" t="inlineStr">
        <is>
          <t>AIR é sempre realizada e a dispensa justificada, conforme critérios objetivos estabelecidos, conforme Decreto nº 10.411, de 2020;</t>
        </is>
      </c>
      <c r="H238" s="6" t="n"/>
      <c r="I238" s="6" t="n"/>
      <c r="J238" s="6" t="n"/>
      <c r="K238" s="6" t="inlineStr">
        <is>
          <t>pendente</t>
        </is>
      </c>
      <c r="L238" s="6" t="n"/>
      <c r="M238" s="5">
        <f>IF(H238="SIM",1,0)</f>
        <v/>
      </c>
      <c r="N238" s="5">
        <f>IF(AND(H238="SIM",K238="validado",I238&lt;&gt;""),1,0)</f>
        <v/>
      </c>
    </row>
    <row r="239">
      <c r="A239" s="5" t="inlineStr">
        <is>
          <t>ANTT</t>
        </is>
      </c>
      <c r="B239" s="5" t="inlineStr">
        <is>
          <t>AIR_PRO.MC.II</t>
        </is>
      </c>
      <c r="C239" s="5" t="inlineStr">
        <is>
          <t>AIR_PRO</t>
        </is>
      </c>
      <c r="D239" s="5" t="n">
        <v>1</v>
      </c>
      <c r="E239" s="5" t="inlineStr">
        <is>
          <t>Melhoria Contínua</t>
        </is>
      </c>
      <c r="F239" s="5" t="inlineStr">
        <is>
          <t>II</t>
        </is>
      </c>
      <c r="G239" s="5" t="inlineStr">
        <is>
          <t>Existência de instrumento de avaliação de qualidade das AIRs realizadas;</t>
        </is>
      </c>
      <c r="H239" s="6" t="n"/>
      <c r="I239" s="6" t="n"/>
      <c r="J239" s="6" t="n"/>
      <c r="K239" s="6" t="inlineStr">
        <is>
          <t>pendente</t>
        </is>
      </c>
      <c r="L239" s="6" t="n"/>
      <c r="M239" s="5">
        <f>IF(H239="SIM",1,0)</f>
        <v/>
      </c>
      <c r="N239" s="5">
        <f>IF(AND(H239="SIM",K239="validado",I239&lt;&gt;""),1,0)</f>
        <v/>
      </c>
    </row>
    <row r="240">
      <c r="A240" s="5" t="inlineStr">
        <is>
          <t>ANTT</t>
        </is>
      </c>
      <c r="B240" s="5" t="inlineStr">
        <is>
          <t>AIR_PRO.GER.II</t>
        </is>
      </c>
      <c r="C240" s="5" t="inlineStr">
        <is>
          <t>AIR_PRO</t>
        </is>
      </c>
      <c r="D240" s="5" t="n">
        <v>1</v>
      </c>
      <c r="E240" s="5" t="inlineStr">
        <is>
          <t>Gerenciado</t>
        </is>
      </c>
      <c r="F240" s="5" t="inlineStr">
        <is>
          <t>II</t>
        </is>
      </c>
      <c r="G240" s="5" t="inlineStr">
        <is>
          <t>O processo de elaboração de AIR está mapeado na instituição;</t>
        </is>
      </c>
      <c r="H240" s="6" t="n"/>
      <c r="I240" s="6" t="n"/>
      <c r="J240" s="6" t="n"/>
      <c r="K240" s="6" t="inlineStr">
        <is>
          <t>pendente</t>
        </is>
      </c>
      <c r="L240" s="6" t="n"/>
      <c r="M240" s="5">
        <f>IF(H240="SIM",1,0)</f>
        <v/>
      </c>
      <c r="N240" s="5">
        <f>IF(AND(H240="SIM",K240="validado",I240&lt;&gt;""),1,0)</f>
        <v/>
      </c>
    </row>
    <row r="241">
      <c r="A241" s="5" t="inlineStr">
        <is>
          <t>ANTT</t>
        </is>
      </c>
      <c r="B241" s="5" t="inlineStr">
        <is>
          <t>AIR_PRO.INI.II</t>
        </is>
      </c>
      <c r="C241" s="5" t="inlineStr">
        <is>
          <t>AIR_PRO</t>
        </is>
      </c>
      <c r="D241" s="5" t="n">
        <v>1</v>
      </c>
      <c r="E241" s="5" t="inlineStr">
        <is>
          <t>Inicial</t>
        </is>
      </c>
      <c r="F241" s="5" t="inlineStr">
        <is>
          <t>II</t>
        </is>
      </c>
      <c r="G241" s="5" t="inlineStr">
        <is>
          <t>Todas as AIRs são publicadas e acessíveis ao público na internet;</t>
        </is>
      </c>
      <c r="H241" s="6" t="n"/>
      <c r="I241" s="6" t="n"/>
      <c r="J241" s="6" t="n"/>
      <c r="K241" s="6" t="inlineStr">
        <is>
          <t>pendente</t>
        </is>
      </c>
      <c r="L241" s="6" t="n"/>
      <c r="M241" s="5">
        <f>IF(H241="SIM",1,0)</f>
        <v/>
      </c>
      <c r="N241" s="5">
        <f>IF(AND(H241="SIM",K241="validado",I241&lt;&gt;""),1,0)</f>
        <v/>
      </c>
    </row>
    <row r="242">
      <c r="A242" s="5" t="inlineStr">
        <is>
          <t>ANTT</t>
        </is>
      </c>
      <c r="B242" s="5" t="inlineStr">
        <is>
          <t>AIR_PRO.MC.III</t>
        </is>
      </c>
      <c r="C242" s="5" t="inlineStr">
        <is>
          <t>AIR_PRO</t>
        </is>
      </c>
      <c r="D242" s="5" t="n">
        <v>1</v>
      </c>
      <c r="E242" s="5" t="inlineStr">
        <is>
          <t>Melhoria Contínua</t>
        </is>
      </c>
      <c r="F242" s="5" t="inlineStr">
        <is>
          <t>III</t>
        </is>
      </c>
      <c r="G242" s="5" t="inlineStr">
        <is>
          <t>As AIRs de alto impacto/alta complexidade são submetidas à participação social prévia e posterior.</t>
        </is>
      </c>
      <c r="H242" s="6" t="n"/>
      <c r="I242" s="6" t="n"/>
      <c r="J242" s="6" t="n"/>
      <c r="K242" s="6" t="inlineStr">
        <is>
          <t>pendente</t>
        </is>
      </c>
      <c r="L242" s="6" t="n"/>
      <c r="M242" s="5">
        <f>IF(H242="SIM",1,0)</f>
        <v/>
      </c>
      <c r="N242" s="5">
        <f>IF(AND(H242="SIM",K242="validado",I242&lt;&gt;""),1,0)</f>
        <v/>
      </c>
    </row>
    <row r="243">
      <c r="A243" s="5" t="inlineStr">
        <is>
          <t>ANTT</t>
        </is>
      </c>
      <c r="B243" s="5" t="inlineStr">
        <is>
          <t>AIR_PRO.GER.III</t>
        </is>
      </c>
      <c r="C243" s="5" t="inlineStr">
        <is>
          <t>AIR_PRO</t>
        </is>
      </c>
      <c r="D243" s="5" t="n">
        <v>1</v>
      </c>
      <c r="E243" s="5" t="inlineStr">
        <is>
          <t>Gerenciado</t>
        </is>
      </c>
      <c r="F243" s="5" t="inlineStr">
        <is>
          <t>III</t>
        </is>
      </c>
      <c r="G243" s="5" t="inlineStr">
        <is>
          <t>As AIRs são objeto de participação social posterior, conforme decisão técnica.</t>
        </is>
      </c>
      <c r="H243" s="6" t="n"/>
      <c r="I243" s="6" t="n"/>
      <c r="J243" s="6" t="n"/>
      <c r="K243" s="6" t="inlineStr">
        <is>
          <t>pendente</t>
        </is>
      </c>
      <c r="L243" s="6" t="n"/>
      <c r="M243" s="5">
        <f>IF(H243="SIM",1,0)</f>
        <v/>
      </c>
      <c r="N243" s="5">
        <f>IF(AND(H243="SIM",K243="validado",I243&lt;&gt;""),1,0)</f>
        <v/>
      </c>
    </row>
    <row r="244">
      <c r="A244" s="5" t="inlineStr">
        <is>
          <t>ANTT</t>
        </is>
      </c>
      <c r="B244" s="5" t="inlineStr">
        <is>
          <t>AIR_PRO.INI.III</t>
        </is>
      </c>
      <c r="C244" s="5" t="inlineStr">
        <is>
          <t>AIR_PRO</t>
        </is>
      </c>
      <c r="D244" s="5" t="n">
        <v>1</v>
      </c>
      <c r="E244" s="5" t="inlineStr">
        <is>
          <t>Inicial</t>
        </is>
      </c>
      <c r="F244" s="5" t="inlineStr">
        <is>
          <t>III</t>
        </is>
      </c>
      <c r="G244" s="5" t="inlineStr">
        <is>
          <t>Participação Social é realizada, conforme Decreto nº 10.411, de 2020.</t>
        </is>
      </c>
      <c r="H244" s="6" t="n"/>
      <c r="I244" s="6" t="n"/>
      <c r="J244" s="6" t="n"/>
      <c r="K244" s="6" t="inlineStr">
        <is>
          <t>pendente</t>
        </is>
      </c>
      <c r="L244" s="6" t="n"/>
      <c r="M244" s="5">
        <f>IF(H244="SIM",1,0)</f>
        <v/>
      </c>
      <c r="N244" s="5">
        <f>IF(AND(H244="SIM",K244="validado",I244&lt;&gt;""),1,0)</f>
        <v/>
      </c>
    </row>
    <row r="245">
      <c r="A245" s="5" t="inlineStr">
        <is>
          <t>ANTT</t>
        </is>
      </c>
      <c r="B245" s="5" t="inlineStr">
        <is>
          <t>PS.MC.I</t>
        </is>
      </c>
      <c r="C245" s="5" t="inlineStr">
        <is>
          <t>PS</t>
        </is>
      </c>
      <c r="D245" s="5" t="n">
        <v>2</v>
      </c>
      <c r="E245" s="5" t="inlineStr">
        <is>
          <t>Melhoria Contínua</t>
        </is>
      </c>
      <c r="F245" s="5" t="inlineStr">
        <is>
          <t>I</t>
        </is>
      </c>
      <c r="G245" s="5" t="inlineStr">
        <is>
          <t>A instituição realiza eventos de participação social para a construção do conhecimento sobre dada matéria e para o desenvolvimento de propostas;</t>
        </is>
      </c>
      <c r="H245" s="6" t="n"/>
      <c r="I245" s="6" t="n"/>
      <c r="J245" s="6" t="n"/>
      <c r="K245" s="6" t="inlineStr">
        <is>
          <t>pendente</t>
        </is>
      </c>
      <c r="L245" s="6" t="n"/>
      <c r="M245" s="5">
        <f>IF(H245="SIM",1,0)</f>
        <v/>
      </c>
      <c r="N245" s="5">
        <f>IF(AND(H245="SIM",K245="validado",I245&lt;&gt;""),1,0)</f>
        <v/>
      </c>
    </row>
    <row r="246">
      <c r="A246" s="5" t="inlineStr">
        <is>
          <t>ANTT</t>
        </is>
      </c>
      <c r="B246" s="5" t="inlineStr">
        <is>
          <t>PS.GER.I</t>
        </is>
      </c>
      <c r="C246" s="5" t="inlineStr">
        <is>
          <t>PS</t>
        </is>
      </c>
      <c r="D246" s="5" t="n">
        <v>2</v>
      </c>
      <c r="E246" s="5" t="inlineStr">
        <is>
          <t>Gerenciado</t>
        </is>
      </c>
      <c r="F246" s="5" t="inlineStr">
        <is>
          <t>I</t>
        </is>
      </c>
      <c r="G246" s="5" t="inlineStr">
        <is>
          <t>Existência de manual ou ato normativo interno instituindo metodologia e procedimento de participação social;</t>
        </is>
      </c>
      <c r="H246" s="6" t="n"/>
      <c r="I246" s="6" t="n"/>
      <c r="J246" s="6" t="n"/>
      <c r="K246" s="6" t="inlineStr">
        <is>
          <t>pendente</t>
        </is>
      </c>
      <c r="L246" s="6" t="n"/>
      <c r="M246" s="5">
        <f>IF(H246="SIM",1,0)</f>
        <v/>
      </c>
      <c r="N246" s="5">
        <f>IF(AND(H246="SIM",K246="validado",I246&lt;&gt;""),1,0)</f>
        <v/>
      </c>
    </row>
    <row r="247">
      <c r="A247" s="5" t="inlineStr">
        <is>
          <t>ANTT</t>
        </is>
      </c>
      <c r="B247" s="5" t="inlineStr">
        <is>
          <t>PS.INI.I</t>
        </is>
      </c>
      <c r="C247" s="5" t="inlineStr">
        <is>
          <t>PS</t>
        </is>
      </c>
      <c r="D247" s="5" t="n">
        <v>2</v>
      </c>
      <c r="E247" s="5" t="inlineStr">
        <is>
          <t>Inicial</t>
        </is>
      </c>
      <c r="F247" s="5" t="inlineStr">
        <is>
          <t>I</t>
        </is>
      </c>
      <c r="G247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247" s="6" t="n"/>
      <c r="I247" s="6" t="n"/>
      <c r="J247" s="6" t="n"/>
      <c r="K247" s="6" t="inlineStr">
        <is>
          <t>pendente</t>
        </is>
      </c>
      <c r="L247" s="6" t="n"/>
      <c r="M247" s="5">
        <f>IF(H247="SIM",1,0)</f>
        <v/>
      </c>
      <c r="N247" s="5">
        <f>IF(AND(H247="SIM",K247="validado",I247&lt;&gt;""),1,0)</f>
        <v/>
      </c>
    </row>
    <row r="248">
      <c r="A248" s="5" t="inlineStr">
        <is>
          <t>ANTT</t>
        </is>
      </c>
      <c r="B248" s="5" t="inlineStr">
        <is>
          <t>PS.MC.II</t>
        </is>
      </c>
      <c r="C248" s="5" t="inlineStr">
        <is>
          <t>PS</t>
        </is>
      </c>
      <c r="D248" s="5" t="n">
        <v>2</v>
      </c>
      <c r="E248" s="5" t="inlineStr">
        <is>
          <t>Melhoria Contínua</t>
        </is>
      </c>
      <c r="F248" s="5" t="inlineStr">
        <is>
          <t>II</t>
        </is>
      </c>
      <c r="G248" s="5" t="inlineStr">
        <is>
          <t>Relatórios da Ouvidoria, relatórios do portal consumidor.gov, pesquisas de satisfação e dados de atendimento são utilizados para subsidiar as decisões regulatórias;</t>
        </is>
      </c>
      <c r="H248" s="6" t="n"/>
      <c r="I248" s="6" t="n"/>
      <c r="J248" s="6" t="n"/>
      <c r="K248" s="6" t="inlineStr">
        <is>
          <t>pendente</t>
        </is>
      </c>
      <c r="L248" s="6" t="n"/>
      <c r="M248" s="5">
        <f>IF(H248="SIM",1,0)</f>
        <v/>
      </c>
      <c r="N248" s="5">
        <f>IF(AND(H248="SIM",K248="validado",I248&lt;&gt;""),1,0)</f>
        <v/>
      </c>
    </row>
    <row r="249">
      <c r="A249" s="5" t="inlineStr">
        <is>
          <t>ANTT</t>
        </is>
      </c>
      <c r="B249" s="5" t="inlineStr">
        <is>
          <t>PS.GER.II</t>
        </is>
      </c>
      <c r="C249" s="5" t="inlineStr">
        <is>
          <t>PS</t>
        </is>
      </c>
      <c r="D249" s="5" t="n">
        <v>2</v>
      </c>
      <c r="E249" s="5" t="inlineStr">
        <is>
          <t>Gerenciado</t>
        </is>
      </c>
      <c r="F249" s="5" t="inlineStr">
        <is>
          <t>II</t>
        </is>
      </c>
      <c r="G249" s="5" t="inlineStr">
        <is>
          <t>Os relatórios da Ouvidoria e os relatórios do portal consumidor.gov são utilizados para subsidiar as decisões regulatórias;</t>
        </is>
      </c>
      <c r="H249" s="6" t="n"/>
      <c r="I249" s="6" t="n"/>
      <c r="J249" s="6" t="n"/>
      <c r="K249" s="6" t="inlineStr">
        <is>
          <t>pendente</t>
        </is>
      </c>
      <c r="L249" s="6" t="n"/>
      <c r="M249" s="5">
        <f>IF(H249="SIM",1,0)</f>
        <v/>
      </c>
      <c r="N249" s="5">
        <f>IF(AND(H249="SIM",K249="validado",I249&lt;&gt;""),1,0)</f>
        <v/>
      </c>
    </row>
    <row r="250">
      <c r="A250" s="5" t="inlineStr">
        <is>
          <t>ANTT</t>
        </is>
      </c>
      <c r="B250" s="5" t="inlineStr">
        <is>
          <t>PS.MC.III</t>
        </is>
      </c>
      <c r="C250" s="5" t="inlineStr">
        <is>
          <t>PS</t>
        </is>
      </c>
      <c r="D250" s="5" t="n">
        <v>2</v>
      </c>
      <c r="E250" s="5" t="inlineStr">
        <is>
          <t>Melhoria Contínua</t>
        </is>
      </c>
      <c r="F250" s="5" t="inlineStr">
        <is>
          <t>III</t>
        </is>
      </c>
      <c r="G250" s="5" t="inlineStr">
        <is>
          <t>Todos os instrumentos, processos e relatórios contendo as contribuições analisadas são divulgados no portal do órgão e/ou plataforma Participa Mais Brasil;</t>
        </is>
      </c>
      <c r="H250" s="6" t="n"/>
      <c r="I250" s="6" t="n"/>
      <c r="J250" s="6" t="n"/>
      <c r="K250" s="6" t="inlineStr">
        <is>
          <t>pendente</t>
        </is>
      </c>
      <c r="L250" s="6" t="n"/>
      <c r="M250" s="5">
        <f>IF(H250="SIM",1,0)</f>
        <v/>
      </c>
      <c r="N250" s="5">
        <f>IF(AND(H250="SIM",K250="validado",I250&lt;&gt;""),1,0)</f>
        <v/>
      </c>
    </row>
    <row r="251">
      <c r="A251" s="5" t="inlineStr">
        <is>
          <t>ANTT</t>
        </is>
      </c>
      <c r="B251" s="5" t="inlineStr">
        <is>
          <t>PS.GER.III</t>
        </is>
      </c>
      <c r="C251" s="5" t="inlineStr">
        <is>
          <t>PS</t>
        </is>
      </c>
      <c r="D251" s="5" t="n">
        <v>2</v>
      </c>
      <c r="E251" s="5" t="inlineStr">
        <is>
          <t>Gerenciado</t>
        </is>
      </c>
      <c r="F251" s="5" t="inlineStr">
        <is>
          <t>III</t>
        </is>
      </c>
      <c r="G251" s="5" t="inlineStr">
        <is>
          <t>Todas as informações relativas aos processos em andamento são divulgadas no portal do órgão e/ou plataforma Participa Mais Brasil;</t>
        </is>
      </c>
      <c r="H251" s="6" t="n"/>
      <c r="I251" s="6" t="n"/>
      <c r="J251" s="6" t="n"/>
      <c r="K251" s="6" t="inlineStr">
        <is>
          <t>pendente</t>
        </is>
      </c>
      <c r="L251" s="6" t="n"/>
      <c r="M251" s="5">
        <f>IF(H251="SIM",1,0)</f>
        <v/>
      </c>
      <c r="N251" s="5">
        <f>IF(AND(H251="SIM",K251="validado",I251&lt;&gt;""),1,0)</f>
        <v/>
      </c>
    </row>
    <row r="252">
      <c r="A252" s="5" t="inlineStr">
        <is>
          <t>ANTT</t>
        </is>
      </c>
      <c r="B252" s="5" t="inlineStr">
        <is>
          <t>PS.MC.IV</t>
        </is>
      </c>
      <c r="C252" s="5" t="inlineStr">
        <is>
          <t>PS</t>
        </is>
      </c>
      <c r="D252" s="5" t="n">
        <v>2</v>
      </c>
      <c r="E252" s="5" t="inlineStr">
        <is>
          <t>Melhoria Contínua</t>
        </is>
      </c>
      <c r="F252" s="5" t="inlineStr">
        <is>
          <t>IV</t>
        </is>
      </c>
      <c r="G252" s="5" t="inlineStr">
        <is>
          <t>A efetividade do evento de participação social é mensurada, conforme metodologia instituída.</t>
        </is>
      </c>
      <c r="H252" s="6" t="n"/>
      <c r="I252" s="6" t="n"/>
      <c r="J252" s="6" t="n"/>
      <c r="K252" s="6" t="inlineStr">
        <is>
          <t>pendente</t>
        </is>
      </c>
      <c r="L252" s="6" t="n"/>
      <c r="M252" s="5">
        <f>IF(H252="SIM",1,0)</f>
        <v/>
      </c>
      <c r="N252" s="5">
        <f>IF(AND(H252="SIM",K252="validado",I252&lt;&gt;""),1,0)</f>
        <v/>
      </c>
    </row>
    <row r="253">
      <c r="A253" s="5" t="inlineStr">
        <is>
          <t>ANTT</t>
        </is>
      </c>
      <c r="B253" s="5" t="inlineStr">
        <is>
          <t>PS.GER.IV</t>
        </is>
      </c>
      <c r="C253" s="5" t="inlineStr">
        <is>
          <t>PS</t>
        </is>
      </c>
      <c r="D253" s="5" t="n">
        <v>2</v>
      </c>
      <c r="E253" s="5" t="inlineStr">
        <is>
          <t>Gerenciado</t>
        </is>
      </c>
      <c r="F253" s="5" t="inlineStr">
        <is>
          <t>IV</t>
        </is>
      </c>
      <c r="G253" s="5" t="inlineStr">
        <is>
          <t>A efetividade do evento de participação social é avaliada de forma intuitiva.</t>
        </is>
      </c>
      <c r="H253" s="6" t="n"/>
      <c r="I253" s="6" t="n"/>
      <c r="J253" s="6" t="n"/>
      <c r="K253" s="6" t="inlineStr">
        <is>
          <t>pendente</t>
        </is>
      </c>
      <c r="L253" s="6" t="n"/>
      <c r="M253" s="5">
        <f>IF(H253="SIM",1,0)</f>
        <v/>
      </c>
      <c r="N253" s="5">
        <f>IF(AND(H253="SIM",K253="validado",I253&lt;&gt;""),1,0)</f>
        <v/>
      </c>
    </row>
    <row r="254">
      <c r="A254" s="5" t="inlineStr">
        <is>
          <t>ANTT</t>
        </is>
      </c>
      <c r="B254" s="5" t="inlineStr">
        <is>
          <t>EST.MC.I</t>
        </is>
      </c>
      <c r="C254" s="5" t="inlineStr">
        <is>
          <t>EST</t>
        </is>
      </c>
      <c r="D254" s="5" t="n">
        <v>3</v>
      </c>
      <c r="E254" s="5" t="inlineStr">
        <is>
          <t>Melhoria Contínua</t>
        </is>
      </c>
      <c r="F254" s="5" t="inlineStr">
        <is>
          <t>I</t>
        </is>
      </c>
      <c r="G254" s="5" t="inlineStr">
        <is>
          <t>As alterações do estoque regulatório da instituição são priorizadas por meio de uma agenda regulatória;</t>
        </is>
      </c>
      <c r="H254" s="6" t="n"/>
      <c r="I254" s="6" t="n"/>
      <c r="J254" s="6" t="n"/>
      <c r="K254" s="6" t="inlineStr">
        <is>
          <t>pendente</t>
        </is>
      </c>
      <c r="L254" s="6" t="n"/>
      <c r="M254" s="5">
        <f>IF(H254="SIM",1,0)</f>
        <v/>
      </c>
      <c r="N254" s="5">
        <f>IF(AND(H254="SIM",K254="validado",I254&lt;&gt;""),1,0)</f>
        <v/>
      </c>
    </row>
    <row r="255">
      <c r="A255" s="5" t="inlineStr">
        <is>
          <t>ANTT</t>
        </is>
      </c>
      <c r="B255" s="5" t="inlineStr">
        <is>
          <t>EST.GER.I</t>
        </is>
      </c>
      <c r="C255" s="5" t="inlineStr">
        <is>
          <t>EST</t>
        </is>
      </c>
      <c r="D255" s="5" t="n">
        <v>3</v>
      </c>
      <c r="E255" s="5" t="inlineStr">
        <is>
          <t>Gerenciado</t>
        </is>
      </c>
      <c r="F255" s="5" t="inlineStr">
        <is>
          <t>I</t>
        </is>
      </c>
      <c r="G255" s="5" t="inlineStr">
        <is>
          <t>Normas publicadas e disponíveis de maneira sistematizada para consulta pública no portal gov.br;</t>
        </is>
      </c>
      <c r="H255" s="6" t="n"/>
      <c r="I255" s="6" t="n"/>
      <c r="J255" s="6" t="n"/>
      <c r="K255" s="6" t="inlineStr">
        <is>
          <t>pendente</t>
        </is>
      </c>
      <c r="L255" s="6" t="n"/>
      <c r="M255" s="5">
        <f>IF(H255="SIM",1,0)</f>
        <v/>
      </c>
      <c r="N255" s="5">
        <f>IF(AND(H255="SIM",K255="validado",I255&lt;&gt;""),1,0)</f>
        <v/>
      </c>
    </row>
    <row r="256">
      <c r="A256" s="5" t="inlineStr">
        <is>
          <t>ANTT</t>
        </is>
      </c>
      <c r="B256" s="5" t="inlineStr">
        <is>
          <t>EST.INI.I</t>
        </is>
      </c>
      <c r="C256" s="5" t="inlineStr">
        <is>
          <t>EST</t>
        </is>
      </c>
      <c r="D256" s="5" t="n">
        <v>3</v>
      </c>
      <c r="E256" s="5" t="inlineStr">
        <is>
          <t>Inicial</t>
        </is>
      </c>
      <c r="F256" s="5" t="inlineStr">
        <is>
          <t>I</t>
        </is>
      </c>
      <c r="G256" s="5" t="inlineStr">
        <is>
          <t>Normas publicadas e disponíveis de maneira sistematizada para consulta pública na internet;</t>
        </is>
      </c>
      <c r="H256" s="6" t="n"/>
      <c r="I256" s="6" t="n"/>
      <c r="J256" s="6" t="n"/>
      <c r="K256" s="6" t="inlineStr">
        <is>
          <t>pendente</t>
        </is>
      </c>
      <c r="L256" s="6" t="n"/>
      <c r="M256" s="5">
        <f>IF(H256="SIM",1,0)</f>
        <v/>
      </c>
      <c r="N256" s="5">
        <f>IF(AND(H256="SIM",K256="validado",I256&lt;&gt;""),1,0)</f>
        <v/>
      </c>
    </row>
    <row r="257">
      <c r="A257" s="5" t="inlineStr">
        <is>
          <t>ANTT</t>
        </is>
      </c>
      <c r="B257" s="5" t="inlineStr">
        <is>
          <t>EST.MC.II</t>
        </is>
      </c>
      <c r="C257" s="5" t="inlineStr">
        <is>
          <t>EST</t>
        </is>
      </c>
      <c r="D257" s="5" t="n">
        <v>3</v>
      </c>
      <c r="E257" s="5" t="inlineStr">
        <is>
          <t>Melhoria Contínua</t>
        </is>
      </c>
      <c r="F257" s="5" t="inlineStr">
        <is>
          <t>II</t>
        </is>
      </c>
      <c r="G257" s="5" t="inlineStr">
        <is>
          <t>Todas as novas normas passam pela análise de consolidação e compatibilização de normas vigentes.</t>
        </is>
      </c>
      <c r="H257" s="6" t="n"/>
      <c r="I257" s="6" t="n"/>
      <c r="J257" s="6" t="n"/>
      <c r="K257" s="6" t="inlineStr">
        <is>
          <t>pendente</t>
        </is>
      </c>
      <c r="L257" s="6" t="n"/>
      <c r="M257" s="5">
        <f>IF(H257="SIM",1,0)</f>
        <v/>
      </c>
      <c r="N257" s="5">
        <f>IF(AND(H257="SIM",K257="validado",I257&lt;&gt;""),1,0)</f>
        <v/>
      </c>
    </row>
    <row r="258">
      <c r="A258" s="5" t="inlineStr">
        <is>
          <t>ANTT</t>
        </is>
      </c>
      <c r="B258" s="5" t="inlineStr">
        <is>
          <t>EST.GER.II</t>
        </is>
      </c>
      <c r="C258" s="5" t="inlineStr">
        <is>
          <t>EST</t>
        </is>
      </c>
      <c r="D258" s="5" t="n">
        <v>3</v>
      </c>
      <c r="E258" s="5" t="inlineStr">
        <is>
          <t>Gerenciado</t>
        </is>
      </c>
      <c r="F258" s="5" t="inlineStr">
        <is>
          <t>II</t>
        </is>
      </c>
      <c r="G258" s="5" t="inlineStr">
        <is>
          <t>Foi realizado levantamento quantitativo de todas as normas do órgão, bem como análise qualitativa, indexação e classificação por tema;</t>
        </is>
      </c>
      <c r="H258" s="6" t="n"/>
      <c r="I258" s="6" t="n"/>
      <c r="J258" s="6" t="n"/>
      <c r="K258" s="6" t="inlineStr">
        <is>
          <t>pendente</t>
        </is>
      </c>
      <c r="L258" s="6" t="n"/>
      <c r="M258" s="5">
        <f>IF(H258="SIM",1,0)</f>
        <v/>
      </c>
      <c r="N258" s="5">
        <f>IF(AND(H258="SIM",K258="validado",I258&lt;&gt;""),1,0)</f>
        <v/>
      </c>
    </row>
    <row r="259">
      <c r="A259" s="5" t="inlineStr">
        <is>
          <t>ANTT</t>
        </is>
      </c>
      <c r="B259" s="5" t="inlineStr">
        <is>
          <t>EST.INI.II</t>
        </is>
      </c>
      <c r="C259" s="5" t="inlineStr">
        <is>
          <t>EST</t>
        </is>
      </c>
      <c r="D259" s="5" t="n">
        <v>3</v>
      </c>
      <c r="E259" s="5" t="inlineStr">
        <is>
          <t>Inicial</t>
        </is>
      </c>
      <c r="F259" s="5" t="inlineStr">
        <is>
          <t>II</t>
        </is>
      </c>
      <c r="G259" s="5" t="inlineStr">
        <is>
          <t>Foi realizado levantamento quantitativo de todas as normas do órgão.</t>
        </is>
      </c>
      <c r="H259" s="6" t="n"/>
      <c r="I259" s="6" t="n"/>
      <c r="J259" s="6" t="n"/>
      <c r="K259" s="6" t="inlineStr">
        <is>
          <t>pendente</t>
        </is>
      </c>
      <c r="L259" s="6" t="n"/>
      <c r="M259" s="5">
        <f>IF(H259="SIM",1,0)</f>
        <v/>
      </c>
      <c r="N259" s="5">
        <f>IF(AND(H259="SIM",K259="validado",I259&lt;&gt;""),1,0)</f>
        <v/>
      </c>
    </row>
    <row r="260">
      <c r="A260" s="5" t="inlineStr">
        <is>
          <t>ANTT</t>
        </is>
      </c>
      <c r="B260" s="5" t="inlineStr">
        <is>
          <t>EST.GER.III</t>
        </is>
      </c>
      <c r="C260" s="5" t="inlineStr">
        <is>
          <t>EST</t>
        </is>
      </c>
      <c r="D260" s="5" t="n">
        <v>3</v>
      </c>
      <c r="E260" s="5" t="inlineStr">
        <is>
          <t>Gerenciado</t>
        </is>
      </c>
      <c r="F260" s="5" t="inlineStr">
        <is>
          <t>III</t>
        </is>
      </c>
      <c r="G260" s="5" t="inlineStr">
        <is>
          <t>Para toda a nova norma de alto impacto/alta complexidade foi estimado o fardo regulatório; e</t>
        </is>
      </c>
      <c r="H260" s="6" t="n"/>
      <c r="I260" s="6" t="n"/>
      <c r="J260" s="6" t="n"/>
      <c r="K260" s="6" t="inlineStr">
        <is>
          <t>pendente</t>
        </is>
      </c>
      <c r="L260" s="6" t="n"/>
      <c r="M260" s="5">
        <f>IF(H260="SIM",1,0)</f>
        <v/>
      </c>
      <c r="N260" s="5">
        <f>IF(AND(H260="SIM",K260="validado",I260&lt;&gt;""),1,0)</f>
        <v/>
      </c>
    </row>
    <row r="261">
      <c r="A261" s="5" t="inlineStr">
        <is>
          <t>ANTT</t>
        </is>
      </c>
      <c r="B261" s="5" t="inlineStr">
        <is>
          <t>EST.GER.IV</t>
        </is>
      </c>
      <c r="C261" s="5" t="inlineStr">
        <is>
          <t>EST</t>
        </is>
      </c>
      <c r="D261" s="5" t="n">
        <v>3</v>
      </c>
      <c r="E261" s="5" t="inlineStr">
        <is>
          <t>Gerenciado</t>
        </is>
      </c>
      <c r="F261" s="5" t="inlineStr">
        <is>
          <t>IV</t>
        </is>
      </c>
      <c r="G261" s="5" t="inlineStr">
        <is>
          <t>Existe manutenção da consolidação normativa, conforme art. 19 do Decreto nº 10.139, de 28 de novembro de 2019.</t>
        </is>
      </c>
      <c r="H261" s="6" t="n"/>
      <c r="I261" s="6" t="n"/>
      <c r="J261" s="6" t="n"/>
      <c r="K261" s="6" t="inlineStr">
        <is>
          <t>pendente</t>
        </is>
      </c>
      <c r="L261" s="6" t="n"/>
      <c r="M261" s="5">
        <f>IF(H261="SIM",1,0)</f>
        <v/>
      </c>
      <c r="N261" s="5">
        <f>IF(AND(H261="SIM",K261="validado",I261&lt;&gt;""),1,0)</f>
        <v/>
      </c>
    </row>
    <row r="262">
      <c r="A262" s="5" t="inlineStr">
        <is>
          <t>ANTT</t>
        </is>
      </c>
      <c r="B262" s="5" t="inlineStr">
        <is>
          <t>AGE.MC.I</t>
        </is>
      </c>
      <c r="C262" s="5" t="inlineStr">
        <is>
          <t>AGE</t>
        </is>
      </c>
      <c r="D262" s="5" t="n">
        <v>4</v>
      </c>
      <c r="E262" s="5" t="inlineStr">
        <is>
          <t>Melhoria Contínua</t>
        </is>
      </c>
      <c r="F262" s="5" t="inlineStr">
        <is>
          <t>I</t>
        </is>
      </c>
      <c r="G262" s="5" t="inlineStr">
        <is>
          <t>A elaboração da agenda regulatória tem ampla participação social, a qual é analisada, respondida e divulgada;</t>
        </is>
      </c>
      <c r="H262" s="6" t="n"/>
      <c r="I262" s="6" t="n"/>
      <c r="J262" s="6" t="n"/>
      <c r="K262" s="6" t="inlineStr">
        <is>
          <t>pendente</t>
        </is>
      </c>
      <c r="L262" s="6" t="n"/>
      <c r="M262" s="5">
        <f>IF(H262="SIM",1,0)</f>
        <v/>
      </c>
      <c r="N262" s="5">
        <f>IF(AND(H262="SIM",K262="validado",I262&lt;&gt;""),1,0)</f>
        <v/>
      </c>
    </row>
    <row r="263">
      <c r="A263" s="5" t="inlineStr">
        <is>
          <t>ANTT</t>
        </is>
      </c>
      <c r="B263" s="5" t="inlineStr">
        <is>
          <t>AGE.GER.I</t>
        </is>
      </c>
      <c r="C263" s="5" t="inlineStr">
        <is>
          <t>AGE</t>
        </is>
      </c>
      <c r="D263" s="5" t="n">
        <v>4</v>
      </c>
      <c r="E263" s="5" t="inlineStr">
        <is>
          <t>Gerenciado</t>
        </is>
      </c>
      <c r="F263" s="5" t="inlineStr">
        <is>
          <t>I</t>
        </is>
      </c>
      <c r="G263" s="5" t="inlineStr">
        <is>
          <t>A elaboração da agenda regulatória tem ampla participação social, a qual é analisada, porém não respondida e divulgada;</t>
        </is>
      </c>
      <c r="H263" s="6" t="n"/>
      <c r="I263" s="6" t="n"/>
      <c r="J263" s="6" t="n"/>
      <c r="K263" s="6" t="inlineStr">
        <is>
          <t>pendente</t>
        </is>
      </c>
      <c r="L263" s="6" t="n"/>
      <c r="M263" s="5">
        <f>IF(H263="SIM",1,0)</f>
        <v/>
      </c>
      <c r="N263" s="5">
        <f>IF(AND(H263="SIM",K263="validado",I263&lt;&gt;""),1,0)</f>
        <v/>
      </c>
    </row>
    <row r="264">
      <c r="A264" s="5" t="inlineStr">
        <is>
          <t>ANTT</t>
        </is>
      </c>
      <c r="B264" s="5" t="inlineStr">
        <is>
          <t>AGE.INI.I</t>
        </is>
      </c>
      <c r="C264" s="5" t="inlineStr">
        <is>
          <t>AGE</t>
        </is>
      </c>
      <c r="D264" s="5" t="n">
        <v>4</v>
      </c>
      <c r="E264" s="5" t="inlineStr">
        <is>
          <t>Inicial</t>
        </is>
      </c>
      <c r="F264" s="5" t="inlineStr">
        <is>
          <t>I</t>
        </is>
      </c>
      <c r="G264" s="5" t="inlineStr">
        <is>
          <t>Os temas da agenda regulatória são elencados e priorizados pelos gestores da agência;</t>
        </is>
      </c>
      <c r="H264" s="6" t="n"/>
      <c r="I264" s="6" t="n"/>
      <c r="J264" s="6" t="n"/>
      <c r="K264" s="6" t="inlineStr">
        <is>
          <t>pendente</t>
        </is>
      </c>
      <c r="L264" s="6" t="n"/>
      <c r="M264" s="5">
        <f>IF(H264="SIM",1,0)</f>
        <v/>
      </c>
      <c r="N264" s="5">
        <f>IF(AND(H264="SIM",K264="validado",I264&lt;&gt;""),1,0)</f>
        <v/>
      </c>
    </row>
    <row r="265">
      <c r="A265" s="5" t="inlineStr">
        <is>
          <t>ANTT</t>
        </is>
      </c>
      <c r="B265" s="5" t="inlineStr">
        <is>
          <t>AGE.MC.II</t>
        </is>
      </c>
      <c r="C265" s="5" t="inlineStr">
        <is>
          <t>AGE</t>
        </is>
      </c>
      <c r="D265" s="5" t="n">
        <v>4</v>
      </c>
      <c r="E265" s="5" t="inlineStr">
        <is>
          <t>Melhoria Contínua</t>
        </is>
      </c>
      <c r="F265" s="5" t="inlineStr">
        <is>
          <t>II</t>
        </is>
      </c>
      <c r="G265" s="5" t="inlineStr">
        <is>
          <t>Os projetos da Agenda Regulatória estão aderentes ao planejamento estratégico vigente e estão correlacionados ao Plano de Gestão Anual;</t>
        </is>
      </c>
      <c r="H265" s="6" t="n"/>
      <c r="I265" s="6" t="n"/>
      <c r="J265" s="6" t="n"/>
      <c r="K265" s="6" t="inlineStr">
        <is>
          <t>pendente</t>
        </is>
      </c>
      <c r="L265" s="6" t="n"/>
      <c r="M265" s="5">
        <f>IF(H265="SIM",1,0)</f>
        <v/>
      </c>
      <c r="N265" s="5">
        <f>IF(AND(H265="SIM",K265="validado",I265&lt;&gt;""),1,0)</f>
        <v/>
      </c>
    </row>
    <row r="266">
      <c r="A266" s="5" t="inlineStr">
        <is>
          <t>ANTT</t>
        </is>
      </c>
      <c r="B266" s="5" t="inlineStr">
        <is>
          <t>AGE.GER.II</t>
        </is>
      </c>
      <c r="C266" s="5" t="inlineStr">
        <is>
          <t>AGE</t>
        </is>
      </c>
      <c r="D266" s="5" t="n">
        <v>4</v>
      </c>
      <c r="E266" s="5" t="inlineStr">
        <is>
          <t>Gerenciado</t>
        </is>
      </c>
      <c r="F266" s="5" t="inlineStr">
        <is>
          <t>II</t>
        </is>
      </c>
      <c r="G266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266" s="6" t="n"/>
      <c r="I266" s="6" t="n"/>
      <c r="J266" s="6" t="n"/>
      <c r="K266" s="6" t="inlineStr">
        <is>
          <t>pendente</t>
        </is>
      </c>
      <c r="L266" s="6" t="n"/>
      <c r="M266" s="5">
        <f>IF(H266="SIM",1,0)</f>
        <v/>
      </c>
      <c r="N266" s="5">
        <f>IF(AND(H266="SIM",K266="validado",I266&lt;&gt;""),1,0)</f>
        <v/>
      </c>
    </row>
    <row r="267">
      <c r="A267" s="5" t="inlineStr">
        <is>
          <t>ANTT</t>
        </is>
      </c>
      <c r="B267" s="5" t="inlineStr">
        <is>
          <t>AGE.INI.II</t>
        </is>
      </c>
      <c r="C267" s="5" t="inlineStr">
        <is>
          <t>AGE</t>
        </is>
      </c>
      <c r="D267" s="5" t="n">
        <v>4</v>
      </c>
      <c r="E267" s="5" t="inlineStr">
        <is>
          <t>Inicial</t>
        </is>
      </c>
      <c r="F267" s="5" t="inlineStr">
        <is>
          <t>II</t>
        </is>
      </c>
      <c r="G267" s="5" t="inlineStr">
        <is>
          <t>É avaliada a aderência da proposta de Agenda às políticas públicas.</t>
        </is>
      </c>
      <c r="H267" s="6" t="n"/>
      <c r="I267" s="6" t="n"/>
      <c r="J267" s="6" t="n"/>
      <c r="K267" s="6" t="inlineStr">
        <is>
          <t>pendente</t>
        </is>
      </c>
      <c r="L267" s="6" t="n"/>
      <c r="M267" s="5">
        <f>IF(H267="SIM",1,0)</f>
        <v/>
      </c>
      <c r="N267" s="5">
        <f>IF(AND(H267="SIM",K267="validado",I267&lt;&gt;""),1,0)</f>
        <v/>
      </c>
    </row>
    <row r="268">
      <c r="A268" s="5" t="inlineStr">
        <is>
          <t>ANTT</t>
        </is>
      </c>
      <c r="B268" s="5" t="inlineStr">
        <is>
          <t>AGE.MC.III</t>
        </is>
      </c>
      <c r="C268" s="5" t="inlineStr">
        <is>
          <t>AGE</t>
        </is>
      </c>
      <c r="D268" s="5" t="n">
        <v>4</v>
      </c>
      <c r="E268" s="5" t="inlineStr">
        <is>
          <t>Melhoria Contínua</t>
        </is>
      </c>
      <c r="F268" s="5" t="inlineStr">
        <is>
          <t>III</t>
        </is>
      </c>
      <c r="G268" s="5" t="inlineStr">
        <is>
          <t>Cumprimento de, no mínimo, 80% da Agenda Regulatória;</t>
        </is>
      </c>
      <c r="H268" s="6" t="n"/>
      <c r="I268" s="6" t="n"/>
      <c r="J268" s="6" t="n"/>
      <c r="K268" s="6" t="inlineStr">
        <is>
          <t>pendente</t>
        </is>
      </c>
      <c r="L268" s="6" t="n"/>
      <c r="M268" s="5">
        <f>IF(H268="SIM",1,0)</f>
        <v/>
      </c>
      <c r="N268" s="5">
        <f>IF(AND(H268="SIM",K268="validado",I268&lt;&gt;""),1,0)</f>
        <v/>
      </c>
    </row>
    <row r="269">
      <c r="A269" s="5" t="inlineStr">
        <is>
          <t>ANTT</t>
        </is>
      </c>
      <c r="B269" s="5" t="inlineStr">
        <is>
          <t>AGE.GER.III</t>
        </is>
      </c>
      <c r="C269" s="5" t="inlineStr">
        <is>
          <t>AGE</t>
        </is>
      </c>
      <c r="D269" s="5" t="n">
        <v>4</v>
      </c>
      <c r="E269" s="5" t="inlineStr">
        <is>
          <t>Gerenciado</t>
        </is>
      </c>
      <c r="F269" s="5" t="inlineStr">
        <is>
          <t>III</t>
        </is>
      </c>
      <c r="G269" s="5" t="inlineStr">
        <is>
          <t>Cumprimento de 50% a 79% da Agenda Regulatória;</t>
        </is>
      </c>
      <c r="H269" s="6" t="n"/>
      <c r="I269" s="6" t="n"/>
      <c r="J269" s="6" t="n"/>
      <c r="K269" s="6" t="inlineStr">
        <is>
          <t>pendente</t>
        </is>
      </c>
      <c r="L269" s="6" t="n"/>
      <c r="M269" s="5">
        <f>IF(H269="SIM",1,0)</f>
        <v/>
      </c>
      <c r="N269" s="5">
        <f>IF(AND(H269="SIM",K269="validado",I269&lt;&gt;""),1,0)</f>
        <v/>
      </c>
    </row>
    <row r="270">
      <c r="A270" s="5" t="inlineStr">
        <is>
          <t>ANTT</t>
        </is>
      </c>
      <c r="B270" s="5" t="inlineStr">
        <is>
          <t>AGE.MC.IV</t>
        </is>
      </c>
      <c r="C270" s="5" t="inlineStr">
        <is>
          <t>AGE</t>
        </is>
      </c>
      <c r="D270" s="5" t="n">
        <v>4</v>
      </c>
      <c r="E270" s="5" t="inlineStr">
        <is>
          <t>Melhoria Contínua</t>
        </is>
      </c>
      <c r="F270" s="5" t="inlineStr">
        <is>
          <t>IV</t>
        </is>
      </c>
      <c r="G270" s="5" t="inlineStr">
        <is>
          <t>A execução da Agenda Regulatória é periodicamente monitorada e divulgada.</t>
        </is>
      </c>
      <c r="H270" s="6" t="n"/>
      <c r="I270" s="6" t="n"/>
      <c r="J270" s="6" t="n"/>
      <c r="K270" s="6" t="inlineStr">
        <is>
          <t>pendente</t>
        </is>
      </c>
      <c r="L270" s="6" t="n"/>
      <c r="M270" s="5">
        <f>IF(H270="SIM",1,0)</f>
        <v/>
      </c>
      <c r="N270" s="5">
        <f>IF(AND(H270="SIM",K270="validado",I270&lt;&gt;""),1,0)</f>
        <v/>
      </c>
    </row>
    <row r="271">
      <c r="A271" s="5" t="inlineStr">
        <is>
          <t>ANTT</t>
        </is>
      </c>
      <c r="B271" s="5" t="inlineStr">
        <is>
          <t>AGE.GER.IV</t>
        </is>
      </c>
      <c r="C271" s="5" t="inlineStr">
        <is>
          <t>AGE</t>
        </is>
      </c>
      <c r="D271" s="5" t="n">
        <v>4</v>
      </c>
      <c r="E271" s="5" t="inlineStr">
        <is>
          <t>Gerenciado</t>
        </is>
      </c>
      <c r="F271" s="5" t="inlineStr">
        <is>
          <t>IV</t>
        </is>
      </c>
      <c r="G271" s="5" t="inlineStr">
        <is>
          <t>A execução da Agenda Regulatória é periodicamente monitorada.</t>
        </is>
      </c>
      <c r="H271" s="6" t="n"/>
      <c r="I271" s="6" t="n"/>
      <c r="J271" s="6" t="n"/>
      <c r="K271" s="6" t="inlineStr">
        <is>
          <t>pendente</t>
        </is>
      </c>
      <c r="L271" s="6" t="n"/>
      <c r="M271" s="5">
        <f>IF(H271="SIM",1,0)</f>
        <v/>
      </c>
      <c r="N271" s="5">
        <f>IF(AND(H271="SIM",K271="validado",I271&lt;&gt;""),1,0)</f>
        <v/>
      </c>
    </row>
    <row r="272">
      <c r="A272" s="5" t="inlineStr">
        <is>
          <t>ANTT</t>
        </is>
      </c>
      <c r="B272" s="5" t="inlineStr">
        <is>
          <t>PRO.MC.I</t>
        </is>
      </c>
      <c r="C272" s="5" t="inlineStr">
        <is>
          <t>PRO</t>
        </is>
      </c>
      <c r="D272" s="5" t="n">
        <v>5</v>
      </c>
      <c r="E272" s="5" t="inlineStr">
        <is>
          <t>Melhoria Contínua</t>
        </is>
      </c>
      <c r="F272" s="5" t="inlineStr">
        <is>
          <t>I</t>
        </is>
      </c>
      <c r="G272" s="5" t="inlineStr">
        <is>
          <t>Indicadores de processo normativo estabelecidos e monitorados;</t>
        </is>
      </c>
      <c r="H272" s="6" t="n"/>
      <c r="I272" s="6" t="n"/>
      <c r="J272" s="6" t="n"/>
      <c r="K272" s="6" t="inlineStr">
        <is>
          <t>pendente</t>
        </is>
      </c>
      <c r="L272" s="6" t="n"/>
      <c r="M272" s="5">
        <f>IF(H272="SIM",1,0)</f>
        <v/>
      </c>
      <c r="N272" s="5">
        <f>IF(AND(H272="SIM",K272="validado",I272&lt;&gt;""),1,0)</f>
        <v/>
      </c>
    </row>
    <row r="273">
      <c r="A273" s="5" t="inlineStr">
        <is>
          <t>ANTT</t>
        </is>
      </c>
      <c r="B273" s="5" t="inlineStr">
        <is>
          <t>PRO.GER.I</t>
        </is>
      </c>
      <c r="C273" s="5" t="inlineStr">
        <is>
          <t>PRO</t>
        </is>
      </c>
      <c r="D273" s="5" t="n">
        <v>5</v>
      </c>
      <c r="E273" s="5" t="inlineStr">
        <is>
          <t>Gerenciado</t>
        </is>
      </c>
      <c r="F273" s="5" t="inlineStr">
        <is>
          <t>I</t>
        </is>
      </c>
      <c r="G273" s="5" t="inlineStr">
        <is>
          <t>as intervenções de participação social estão claramente inseridas no processo.</t>
        </is>
      </c>
      <c r="H273" s="6" t="n"/>
      <c r="I273" s="6" t="n"/>
      <c r="J273" s="6" t="n"/>
      <c r="K273" s="6" t="inlineStr">
        <is>
          <t>pendente</t>
        </is>
      </c>
      <c r="L273" s="6" t="n"/>
      <c r="M273" s="5">
        <f>IF(H273="SIM",1,0)</f>
        <v/>
      </c>
      <c r="N273" s="5">
        <f>IF(AND(H273="SIM",K273="validado",I273&lt;&gt;""),1,0)</f>
        <v/>
      </c>
    </row>
    <row r="274">
      <c r="A274" s="5" t="inlineStr">
        <is>
          <t>ANTT</t>
        </is>
      </c>
      <c r="B274" s="5" t="inlineStr">
        <is>
          <t>PRO.INI.I</t>
        </is>
      </c>
      <c r="C274" s="5" t="inlineStr">
        <is>
          <t>PRO</t>
        </is>
      </c>
      <c r="D274" s="5" t="n">
        <v>5</v>
      </c>
      <c r="E274" s="5" t="inlineStr">
        <is>
          <t>Inicial</t>
        </is>
      </c>
      <c r="F274" s="5" t="inlineStr">
        <is>
          <t>I</t>
        </is>
      </c>
      <c r="G274" s="5" t="inlineStr">
        <is>
          <t>O fluxo do processo normativo é formalizado de forma bem definida e clara;</t>
        </is>
      </c>
      <c r="H274" s="6" t="n"/>
      <c r="I274" s="6" t="n"/>
      <c r="J274" s="6" t="n"/>
      <c r="K274" s="6" t="inlineStr">
        <is>
          <t>pendente</t>
        </is>
      </c>
      <c r="L274" s="6" t="n"/>
      <c r="M274" s="5">
        <f>IF(H274="SIM",1,0)</f>
        <v/>
      </c>
      <c r="N274" s="5">
        <f>IF(AND(H274="SIM",K274="validado",I274&lt;&gt;""),1,0)</f>
        <v/>
      </c>
    </row>
    <row r="275">
      <c r="A275" s="5" t="inlineStr">
        <is>
          <t>ANTT</t>
        </is>
      </c>
      <c r="B275" s="5" t="inlineStr">
        <is>
          <t>PRO.MC.II</t>
        </is>
      </c>
      <c r="C275" s="5" t="inlineStr">
        <is>
          <t>PRO</t>
        </is>
      </c>
      <c r="D275" s="5" t="n">
        <v>5</v>
      </c>
      <c r="E275" s="5" t="inlineStr">
        <is>
          <t>Melhoria Contínua</t>
        </is>
      </c>
      <c r="F275" s="5" t="inlineStr">
        <is>
          <t>II</t>
        </is>
      </c>
      <c r="G275" s="5" t="inlineStr">
        <is>
          <t>Há processo contínuo de avaliação e melhoria do processo normativo, utilizando o resultado dos indicadores.</t>
        </is>
      </c>
      <c r="H275" s="6" t="n"/>
      <c r="I275" s="6" t="n"/>
      <c r="J275" s="6" t="n"/>
      <c r="K275" s="6" t="inlineStr">
        <is>
          <t>pendente</t>
        </is>
      </c>
      <c r="L275" s="6" t="n"/>
      <c r="M275" s="5">
        <f>IF(H275="SIM",1,0)</f>
        <v/>
      </c>
      <c r="N275" s="5">
        <f>IF(AND(H275="SIM",K275="validado",I275&lt;&gt;""),1,0)</f>
        <v/>
      </c>
    </row>
    <row r="276">
      <c r="A276" s="5" t="inlineStr">
        <is>
          <t>ANTT</t>
        </is>
      </c>
      <c r="B276" s="5" t="inlineStr">
        <is>
          <t>PRO.INI.II</t>
        </is>
      </c>
      <c r="C276" s="5" t="inlineStr">
        <is>
          <t>PRO</t>
        </is>
      </c>
      <c r="D276" s="5" t="n">
        <v>5</v>
      </c>
      <c r="E276" s="5" t="inlineStr">
        <is>
          <t>Inicial</t>
        </is>
      </c>
      <c r="F276" s="5" t="inlineStr">
        <is>
          <t>II</t>
        </is>
      </c>
      <c r="G276" s="5" t="inlineStr">
        <is>
          <t>As instâncias de aprovação estabelecidas são claras e formalizadas.</t>
        </is>
      </c>
      <c r="H276" s="6" t="n"/>
      <c r="I276" s="6" t="n"/>
      <c r="J276" s="6" t="n"/>
      <c r="K276" s="6" t="inlineStr">
        <is>
          <t>pendente</t>
        </is>
      </c>
      <c r="L276" s="6" t="n"/>
      <c r="M276" s="5">
        <f>IF(H276="SIM",1,0)</f>
        <v/>
      </c>
      <c r="N276" s="5">
        <f>IF(AND(H276="SIM",K276="validado",I276&lt;&gt;""),1,0)</f>
        <v/>
      </c>
    </row>
    <row r="277">
      <c r="A277" s="5" t="inlineStr">
        <is>
          <t>ANTT</t>
        </is>
      </c>
      <c r="B277" s="5" t="inlineStr">
        <is>
          <t>ARR_CAP.MC.I</t>
        </is>
      </c>
      <c r="C277" s="5" t="inlineStr">
        <is>
          <t>ARR_CAP</t>
        </is>
      </c>
      <c r="D277" s="5" t="n">
        <v>6</v>
      </c>
      <c r="E277" s="5" t="inlineStr">
        <is>
          <t>Melhoria Contínua</t>
        </is>
      </c>
      <c r="F277" s="5" t="inlineStr">
        <is>
          <t>I</t>
        </is>
      </c>
      <c r="G277" s="5" t="inlineStr">
        <is>
          <t>Plano de capacitação formalizado e em execução, incluindo permanente reciclagem em ARR;</t>
        </is>
      </c>
      <c r="H277" s="6" t="n"/>
      <c r="I277" s="6" t="n"/>
      <c r="J277" s="6" t="n"/>
      <c r="K277" s="6" t="inlineStr">
        <is>
          <t>pendente</t>
        </is>
      </c>
      <c r="L277" s="6" t="n"/>
      <c r="M277" s="5">
        <f>IF(H277="SIM",1,0)</f>
        <v/>
      </c>
      <c r="N277" s="5">
        <f>IF(AND(H277="SIM",K277="validado",I277&lt;&gt;""),1,0)</f>
        <v/>
      </c>
    </row>
    <row r="278">
      <c r="A278" s="5" t="inlineStr">
        <is>
          <t>ANTT</t>
        </is>
      </c>
      <c r="B278" s="5" t="inlineStr">
        <is>
          <t>ARR_CAP.GER.I</t>
        </is>
      </c>
      <c r="C278" s="5" t="inlineStr">
        <is>
          <t>ARR_CAP</t>
        </is>
      </c>
      <c r="D278" s="5" t="n">
        <v>6</v>
      </c>
      <c r="E278" s="5" t="inlineStr">
        <is>
          <t>Gerenciado</t>
        </is>
      </c>
      <c r="F278" s="5" t="inlineStr">
        <is>
          <t>I</t>
        </is>
      </c>
      <c r="G278" s="5" t="inlineStr">
        <is>
          <t>Capacitações institucionalizadas, sem um plano formalizado;</t>
        </is>
      </c>
      <c r="H278" s="6" t="n"/>
      <c r="I278" s="6" t="n"/>
      <c r="J278" s="6" t="n"/>
      <c r="K278" s="6" t="inlineStr">
        <is>
          <t>pendente</t>
        </is>
      </c>
      <c r="L278" s="6" t="n"/>
      <c r="M278" s="5">
        <f>IF(H278="SIM",1,0)</f>
        <v/>
      </c>
      <c r="N278" s="5">
        <f>IF(AND(H278="SIM",K278="validado",I278&lt;&gt;""),1,0)</f>
        <v/>
      </c>
    </row>
    <row r="279">
      <c r="A279" s="5" t="inlineStr">
        <is>
          <t>ANTT</t>
        </is>
      </c>
      <c r="B279" s="5" t="inlineStr">
        <is>
          <t>ARR_CAP.INI.I</t>
        </is>
      </c>
      <c r="C279" s="5" t="inlineStr">
        <is>
          <t>ARR_CAP</t>
        </is>
      </c>
      <c r="D279" s="5" t="n">
        <v>6</v>
      </c>
      <c r="E279" s="5" t="inlineStr">
        <is>
          <t>Inicial</t>
        </is>
      </c>
      <c r="F279" s="5" t="inlineStr">
        <is>
          <t>I</t>
        </is>
      </c>
      <c r="G279" s="5" t="inlineStr">
        <is>
          <t>Capacitações não estão institucionalizadas;</t>
        </is>
      </c>
      <c r="H279" s="6" t="n"/>
      <c r="I279" s="6" t="n"/>
      <c r="J279" s="6" t="n"/>
      <c r="K279" s="6" t="inlineStr">
        <is>
          <t>pendente</t>
        </is>
      </c>
      <c r="L279" s="6" t="n"/>
      <c r="M279" s="5">
        <f>IF(H279="SIM",1,0)</f>
        <v/>
      </c>
      <c r="N279" s="5">
        <f>IF(AND(H279="SIM",K279="validado",I279&lt;&gt;""),1,0)</f>
        <v/>
      </c>
    </row>
    <row r="280">
      <c r="A280" s="5" t="inlineStr">
        <is>
          <t>ANTT</t>
        </is>
      </c>
      <c r="B280" s="5" t="inlineStr">
        <is>
          <t>ARR_CAP.MC.II</t>
        </is>
      </c>
      <c r="C280" s="5" t="inlineStr">
        <is>
          <t>ARR_CAP</t>
        </is>
      </c>
      <c r="D280" s="5" t="n">
        <v>6</v>
      </c>
      <c r="E280" s="5" t="inlineStr">
        <is>
          <t>Melhoria Contínua</t>
        </is>
      </c>
      <c r="F280" s="5" t="inlineStr">
        <is>
          <t>II</t>
        </is>
      </c>
      <c r="G280" s="5" t="inlineStr">
        <is>
          <t>No mínimo, 75% dos servidores envolvidos em elaboração de regulação capacitados em ARR.</t>
        </is>
      </c>
      <c r="H280" s="6" t="n"/>
      <c r="I280" s="6" t="n"/>
      <c r="J280" s="6" t="n"/>
      <c r="K280" s="6" t="inlineStr">
        <is>
          <t>pendente</t>
        </is>
      </c>
      <c r="L280" s="6" t="n"/>
      <c r="M280" s="5">
        <f>IF(H280="SIM",1,0)</f>
        <v/>
      </c>
      <c r="N280" s="5">
        <f>IF(AND(H280="SIM",K280="validado",I280&lt;&gt;""),1,0)</f>
        <v/>
      </c>
    </row>
    <row r="281">
      <c r="A281" s="5" t="inlineStr">
        <is>
          <t>ANTT</t>
        </is>
      </c>
      <c r="B281" s="5" t="inlineStr">
        <is>
          <t>ARR_CAP.GER.II</t>
        </is>
      </c>
      <c r="C281" s="5" t="inlineStr">
        <is>
          <t>ARR_CAP</t>
        </is>
      </c>
      <c r="D281" s="5" t="n">
        <v>6</v>
      </c>
      <c r="E281" s="5" t="inlineStr">
        <is>
          <t>Gerenciado</t>
        </is>
      </c>
      <c r="F281" s="5" t="inlineStr">
        <is>
          <t>II</t>
        </is>
      </c>
      <c r="G281" s="5" t="inlineStr">
        <is>
          <t>de 50% a 74% dos servidores envolvidos em elaboração de regulação capacitados em ARR;</t>
        </is>
      </c>
      <c r="H281" s="6" t="n"/>
      <c r="I281" s="6" t="n"/>
      <c r="J281" s="6" t="n"/>
      <c r="K281" s="6" t="inlineStr">
        <is>
          <t>pendente</t>
        </is>
      </c>
      <c r="L281" s="6" t="n"/>
      <c r="M281" s="5">
        <f>IF(H281="SIM",1,0)</f>
        <v/>
      </c>
      <c r="N281" s="5">
        <f>IF(AND(H281="SIM",K281="validado",I281&lt;&gt;""),1,0)</f>
        <v/>
      </c>
    </row>
    <row r="282">
      <c r="A282" s="5" t="inlineStr">
        <is>
          <t>ANTT</t>
        </is>
      </c>
      <c r="B282" s="5" t="inlineStr">
        <is>
          <t>ARR_CAP.INI.II</t>
        </is>
      </c>
      <c r="C282" s="5" t="inlineStr">
        <is>
          <t>ARR_CAP</t>
        </is>
      </c>
      <c r="D282" s="5" t="n">
        <v>6</v>
      </c>
      <c r="E282" s="5" t="inlineStr">
        <is>
          <t>Inicial</t>
        </is>
      </c>
      <c r="F282" s="5" t="inlineStr">
        <is>
          <t>II</t>
        </is>
      </c>
      <c r="G282" s="5" t="inlineStr">
        <is>
          <t>de 25% a 49% dos servidores envolvidos em elaboração de regulação capacitados em ARR.</t>
        </is>
      </c>
      <c r="H282" s="6" t="n"/>
      <c r="I282" s="6" t="n"/>
      <c r="J282" s="6" t="n"/>
      <c r="K282" s="6" t="inlineStr">
        <is>
          <t>pendente</t>
        </is>
      </c>
      <c r="L282" s="6" t="n"/>
      <c r="M282" s="5">
        <f>IF(H282="SIM",1,0)</f>
        <v/>
      </c>
      <c r="N282" s="5">
        <f>IF(AND(H282="SIM",K282="validado",I282&lt;&gt;""),1,0)</f>
        <v/>
      </c>
    </row>
    <row r="283">
      <c r="A283" s="5" t="inlineStr">
        <is>
          <t>ANTT</t>
        </is>
      </c>
      <c r="B283" s="5" t="inlineStr">
        <is>
          <t>ARR_MET.MC.I</t>
        </is>
      </c>
      <c r="C283" s="5" t="inlineStr">
        <is>
          <t>ARR_MET</t>
        </is>
      </c>
      <c r="D283" s="5" t="n">
        <v>6</v>
      </c>
      <c r="E283" s="5" t="inlineStr">
        <is>
          <t>Melhoria Contínua</t>
        </is>
      </c>
      <c r="F283" s="5" t="inlineStr">
        <is>
          <t>I</t>
        </is>
      </c>
      <c r="G283" s="5" t="inlineStr">
        <is>
          <t>Metodologia de elaboração de ARR contempla a participação social, conforme complexidade do ato;</t>
        </is>
      </c>
      <c r="H283" s="6" t="n"/>
      <c r="I283" s="6" t="n"/>
      <c r="J283" s="6" t="n"/>
      <c r="K283" s="6" t="inlineStr">
        <is>
          <t>pendente</t>
        </is>
      </c>
      <c r="L283" s="6" t="n"/>
      <c r="M283" s="5">
        <f>IF(H283="SIM",1,0)</f>
        <v/>
      </c>
      <c r="N283" s="5">
        <f>IF(AND(H283="SIM",K283="validado",I283&lt;&gt;""),1,0)</f>
        <v/>
      </c>
    </row>
    <row r="284">
      <c r="A284" s="5" t="inlineStr">
        <is>
          <t>ANTT</t>
        </is>
      </c>
      <c r="B284" s="5" t="inlineStr">
        <is>
          <t>ARR_MET.GER.I</t>
        </is>
      </c>
      <c r="C284" s="5" t="inlineStr">
        <is>
          <t>ARR_MET</t>
        </is>
      </c>
      <c r="D284" s="5" t="n">
        <v>6</v>
      </c>
      <c r="E284" s="5" t="inlineStr">
        <is>
          <t>Gerenciado</t>
        </is>
      </c>
      <c r="F284" s="5" t="inlineStr">
        <is>
          <t>I</t>
        </is>
      </c>
      <c r="G284" s="5" t="inlineStr">
        <is>
          <t>Existência de manual ou ato normativo instituindo a aplicabilidade de ARR no órgão;</t>
        </is>
      </c>
      <c r="H284" s="6" t="n"/>
      <c r="I284" s="6" t="n"/>
      <c r="J284" s="6" t="n"/>
      <c r="K284" s="6" t="inlineStr">
        <is>
          <t>pendente</t>
        </is>
      </c>
      <c r="L284" s="6" t="n"/>
      <c r="M284" s="5">
        <f>IF(H284="SIM",1,0)</f>
        <v/>
      </c>
      <c r="N284" s="5">
        <f>IF(AND(H284="SIM",K284="validado",I284&lt;&gt;""),1,0)</f>
        <v/>
      </c>
    </row>
    <row r="285">
      <c r="A285" s="5" t="inlineStr">
        <is>
          <t>ANTT</t>
        </is>
      </c>
      <c r="B285" s="5" t="inlineStr">
        <is>
          <t>ARR_MET.INI.I</t>
        </is>
      </c>
      <c r="C285" s="5" t="inlineStr">
        <is>
          <t>ARR_MET</t>
        </is>
      </c>
      <c r="D285" s="5" t="n">
        <v>6</v>
      </c>
      <c r="E285" s="5" t="inlineStr">
        <is>
          <t>Inicial</t>
        </is>
      </c>
      <c r="F285" s="5" t="inlineStr">
        <is>
          <t>I</t>
        </is>
      </c>
      <c r="G285" s="5" t="inlineStr">
        <is>
          <t>existe Agenda de ARR, conforme determinado no Decreto nº 10.411, de 2020.</t>
        </is>
      </c>
      <c r="H285" s="6" t="n"/>
      <c r="I285" s="6" t="n"/>
      <c r="J285" s="6" t="n"/>
      <c r="K285" s="6" t="inlineStr">
        <is>
          <t>pendente</t>
        </is>
      </c>
      <c r="L285" s="6" t="n"/>
      <c r="M285" s="5">
        <f>IF(H285="SIM",1,0)</f>
        <v/>
      </c>
      <c r="N285" s="5">
        <f>IF(AND(H285="SIM",K285="validado",I285&lt;&gt;""),1,0)</f>
        <v/>
      </c>
    </row>
    <row r="286">
      <c r="A286" s="5" t="inlineStr">
        <is>
          <t>ANTT</t>
        </is>
      </c>
      <c r="B286" s="5" t="inlineStr">
        <is>
          <t>ARR_MET.MC.II</t>
        </is>
      </c>
      <c r="C286" s="5" t="inlineStr">
        <is>
          <t>ARR_MET</t>
        </is>
      </c>
      <c r="D286" s="5" t="n">
        <v>6</v>
      </c>
      <c r="E286" s="5" t="inlineStr">
        <is>
          <t>Melhoria Contínua</t>
        </is>
      </c>
      <c r="F286" s="5" t="inlineStr">
        <is>
          <t>II</t>
        </is>
      </c>
      <c r="G286" s="5" t="inlineStr">
        <is>
          <t>Existência de Agenda de ARR integrada com a Agenda Regulatória.</t>
        </is>
      </c>
      <c r="H286" s="6" t="n"/>
      <c r="I286" s="6" t="n"/>
      <c r="J286" s="6" t="n"/>
      <c r="K286" s="6" t="inlineStr">
        <is>
          <t>pendente</t>
        </is>
      </c>
      <c r="L286" s="6" t="n"/>
      <c r="M286" s="5">
        <f>IF(H286="SIM",1,0)</f>
        <v/>
      </c>
      <c r="N286" s="5">
        <f>IF(AND(H286="SIM",K286="validado",I286&lt;&gt;""),1,0)</f>
        <v/>
      </c>
    </row>
    <row r="287">
      <c r="A287" s="5" t="inlineStr">
        <is>
          <t>ANTT</t>
        </is>
      </c>
      <c r="B287" s="5" t="inlineStr">
        <is>
          <t>ARR_MET.GER.II</t>
        </is>
      </c>
      <c r="C287" s="5" t="inlineStr">
        <is>
          <t>ARR_MET</t>
        </is>
      </c>
      <c r="D287" s="5" t="n">
        <v>6</v>
      </c>
      <c r="E287" s="5" t="inlineStr">
        <is>
          <t>Gerenciado</t>
        </is>
      </c>
      <c r="F287" s="5" t="inlineStr">
        <is>
          <t>II</t>
        </is>
      </c>
      <c r="G287" s="5" t="inlineStr">
        <is>
          <t>Metodologia de elaboração da Agenda de ARR contempla participação social.</t>
        </is>
      </c>
      <c r="H287" s="6" t="n"/>
      <c r="I287" s="6" t="n"/>
      <c r="J287" s="6" t="n"/>
      <c r="K287" s="6" t="inlineStr">
        <is>
          <t>pendente</t>
        </is>
      </c>
      <c r="L287" s="6" t="n"/>
      <c r="M287" s="5">
        <f>IF(H287="SIM",1,0)</f>
        <v/>
      </c>
      <c r="N287" s="5">
        <f>IF(AND(H287="SIM",K287="validado",I287&lt;&gt;""),1,0)</f>
        <v/>
      </c>
    </row>
    <row r="288">
      <c r="A288" s="5" t="inlineStr">
        <is>
          <t>ANTT</t>
        </is>
      </c>
      <c r="B288" s="5" t="inlineStr">
        <is>
          <t>ARR_PRO.MC.I</t>
        </is>
      </c>
      <c r="C288" s="5" t="inlineStr">
        <is>
          <t>ARR_PRO</t>
        </is>
      </c>
      <c r="D288" s="5" t="n">
        <v>6</v>
      </c>
      <c r="E288" s="5" t="inlineStr">
        <is>
          <t>Melhoria Contínua</t>
        </is>
      </c>
      <c r="F288" s="5" t="inlineStr">
        <is>
          <t>I</t>
        </is>
      </c>
      <c r="G288" s="5" t="inlineStr">
        <is>
          <t>Há processo contínuo de avaliação e melhoria do processo de elaboração de ARR;</t>
        </is>
      </c>
      <c r="H288" s="6" t="n"/>
      <c r="I288" s="6" t="n"/>
      <c r="J288" s="6" t="n"/>
      <c r="K288" s="6" t="inlineStr">
        <is>
          <t>pendente</t>
        </is>
      </c>
      <c r="L288" s="6" t="n"/>
      <c r="M288" s="5">
        <f>IF(H288="SIM",1,0)</f>
        <v/>
      </c>
      <c r="N288" s="5">
        <f>IF(AND(H288="SIM",K288="validado",I288&lt;&gt;""),1,0)</f>
        <v/>
      </c>
    </row>
    <row r="289">
      <c r="A289" s="5" t="inlineStr">
        <is>
          <t>ANTT</t>
        </is>
      </c>
      <c r="B289" s="5" t="inlineStr">
        <is>
          <t>ARR_PRO.GER.I</t>
        </is>
      </c>
      <c r="C289" s="5" t="inlineStr">
        <is>
          <t>ARR_PRO</t>
        </is>
      </c>
      <c r="D289" s="5" t="n">
        <v>6</v>
      </c>
      <c r="E289" s="5" t="inlineStr">
        <is>
          <t>Gerenciado</t>
        </is>
      </c>
      <c r="F289" s="5" t="inlineStr">
        <is>
          <t>I</t>
        </is>
      </c>
      <c r="G289" s="5" t="inlineStr">
        <is>
          <t>ARR é realizada conforme manual ou ato normativo;</t>
        </is>
      </c>
      <c r="H289" s="6" t="n"/>
      <c r="I289" s="6" t="n"/>
      <c r="J289" s="6" t="n"/>
      <c r="K289" s="6" t="inlineStr">
        <is>
          <t>pendente</t>
        </is>
      </c>
      <c r="L289" s="6" t="n"/>
      <c r="M289" s="5">
        <f>IF(H289="SIM",1,0)</f>
        <v/>
      </c>
      <c r="N289" s="5">
        <f>IF(AND(H289="SIM",K289="validado",I289&lt;&gt;""),1,0)</f>
        <v/>
      </c>
    </row>
    <row r="290">
      <c r="A290" s="5" t="inlineStr">
        <is>
          <t>ANTT</t>
        </is>
      </c>
      <c r="B290" s="5" t="inlineStr">
        <is>
          <t>ARR_PRO.INI.I</t>
        </is>
      </c>
      <c r="C290" s="5" t="inlineStr">
        <is>
          <t>ARR_PRO</t>
        </is>
      </c>
      <c r="D290" s="5" t="n">
        <v>6</v>
      </c>
      <c r="E290" s="5" t="inlineStr">
        <is>
          <t>Inicial</t>
        </is>
      </c>
      <c r="F290" s="5" t="inlineStr">
        <is>
          <t>I</t>
        </is>
      </c>
      <c r="G290" s="5" t="inlineStr">
        <is>
          <t>Todas as ARRs são publicadas e acessíveis ao público na internet;</t>
        </is>
      </c>
      <c r="H290" s="6" t="n"/>
      <c r="I290" s="6" t="n"/>
      <c r="J290" s="6" t="n"/>
      <c r="K290" s="6" t="inlineStr">
        <is>
          <t>pendente</t>
        </is>
      </c>
      <c r="L290" s="6" t="n"/>
      <c r="M290" s="5">
        <f>IF(H290="SIM",1,0)</f>
        <v/>
      </c>
      <c r="N290" s="5">
        <f>IF(AND(H290="SIM",K290="validado",I290&lt;&gt;""),1,0)</f>
        <v/>
      </c>
    </row>
    <row r="291">
      <c r="A291" s="5" t="inlineStr">
        <is>
          <t>ANTT</t>
        </is>
      </c>
      <c r="B291" s="5" t="inlineStr">
        <is>
          <t>ARR_PRO.MC.II</t>
        </is>
      </c>
      <c r="C291" s="5" t="inlineStr">
        <is>
          <t>ARR_PRO</t>
        </is>
      </c>
      <c r="D291" s="5" t="n">
        <v>6</v>
      </c>
      <c r="E291" s="5" t="inlineStr">
        <is>
          <t>Melhoria Contínua</t>
        </is>
      </c>
      <c r="F291" s="5" t="inlineStr">
        <is>
          <t>II</t>
        </is>
      </c>
      <c r="G291" s="5" t="inlineStr">
        <is>
          <t>A execução da Agenda de ARR é periodicamente monitorada e divulgada.</t>
        </is>
      </c>
      <c r="H291" s="6" t="n"/>
      <c r="I291" s="6" t="n"/>
      <c r="J291" s="6" t="n"/>
      <c r="K291" s="6" t="inlineStr">
        <is>
          <t>pendente</t>
        </is>
      </c>
      <c r="L291" s="6" t="n"/>
      <c r="M291" s="5">
        <f>IF(H291="SIM",1,0)</f>
        <v/>
      </c>
      <c r="N291" s="5">
        <f>IF(AND(H291="SIM",K291="validado",I291&lt;&gt;""),1,0)</f>
        <v/>
      </c>
    </row>
    <row r="292">
      <c r="A292" s="5" t="inlineStr">
        <is>
          <t>ANTT</t>
        </is>
      </c>
      <c r="B292" s="5" t="inlineStr">
        <is>
          <t>ARR_PRO.GER.II</t>
        </is>
      </c>
      <c r="C292" s="5" t="inlineStr">
        <is>
          <t>ARR_PRO</t>
        </is>
      </c>
      <c r="D292" s="5" t="n">
        <v>6</v>
      </c>
      <c r="E292" s="5" t="inlineStr">
        <is>
          <t>Gerenciado</t>
        </is>
      </c>
      <c r="F292" s="5" t="inlineStr">
        <is>
          <t>II</t>
        </is>
      </c>
      <c r="G292" s="5" t="inlineStr">
        <is>
          <t>ARRs de alto impacto/alta complexidade foram submetidas à participação social.</t>
        </is>
      </c>
      <c r="H292" s="6" t="n"/>
      <c r="I292" s="6" t="n"/>
      <c r="J292" s="6" t="n"/>
      <c r="K292" s="6" t="inlineStr">
        <is>
          <t>pendente</t>
        </is>
      </c>
      <c r="L292" s="6" t="n"/>
      <c r="M292" s="5">
        <f>IF(H292="SIM",1,0)</f>
        <v/>
      </c>
      <c r="N292" s="5">
        <f>IF(AND(H292="SIM",K292="validado",I292&lt;&gt;""),1,0)</f>
        <v/>
      </c>
    </row>
    <row r="293">
      <c r="A293" s="5" t="inlineStr">
        <is>
          <t>ANTT</t>
        </is>
      </c>
      <c r="B293" s="5" t="inlineStr">
        <is>
          <t>ARR_PRO.INI.II</t>
        </is>
      </c>
      <c r="C293" s="5" t="inlineStr">
        <is>
          <t>ARR_PRO</t>
        </is>
      </c>
      <c r="D293" s="5" t="n">
        <v>6</v>
      </c>
      <c r="E293" s="5" t="inlineStr">
        <is>
          <t>Inicial</t>
        </is>
      </c>
      <c r="F293" s="5" t="inlineStr">
        <is>
          <t>II</t>
        </is>
      </c>
      <c r="G293" s="5" t="inlineStr">
        <is>
          <t>A agenda de ARR está publicada no site do órgão.</t>
        </is>
      </c>
      <c r="H293" s="6" t="n"/>
      <c r="I293" s="6" t="n"/>
      <c r="J293" s="6" t="n"/>
      <c r="K293" s="6" t="inlineStr">
        <is>
          <t>pendente</t>
        </is>
      </c>
      <c r="L293" s="6" t="n"/>
      <c r="M293" s="5">
        <f>IF(H293="SIM",1,0)</f>
        <v/>
      </c>
      <c r="N293" s="5">
        <f>IF(AND(H293="SIM",K293="validado",I293&lt;&gt;""),1,0)</f>
        <v/>
      </c>
    </row>
    <row r="294">
      <c r="A294" s="5" t="inlineStr">
        <is>
          <t>ANAC</t>
        </is>
      </c>
      <c r="B294" s="5" t="inlineStr">
        <is>
          <t>AIR_CAP.MC.I</t>
        </is>
      </c>
      <c r="C294" s="5" t="inlineStr">
        <is>
          <t>AIR_CAP</t>
        </is>
      </c>
      <c r="D294" s="5" t="n">
        <v>1</v>
      </c>
      <c r="E294" s="5" t="inlineStr">
        <is>
          <t>Melhoria Contínua</t>
        </is>
      </c>
      <c r="F294" s="5" t="inlineStr">
        <is>
          <t>I</t>
        </is>
      </c>
      <c r="G294" s="5" t="inlineStr">
        <is>
          <t>Plano de capacitação formalizado e em execução, incluindo permanente reciclagem em técnicas de AIR;</t>
        </is>
      </c>
      <c r="H294" s="6" t="n"/>
      <c r="I294" s="6" t="n"/>
      <c r="J294" s="6" t="n"/>
      <c r="K294" s="6" t="inlineStr">
        <is>
          <t>pendente</t>
        </is>
      </c>
      <c r="L294" s="6" t="n"/>
      <c r="M294" s="5">
        <f>IF(H294="SIM",1,0)</f>
        <v/>
      </c>
      <c r="N294" s="5">
        <f>IF(AND(H294="SIM",K294="validado",I294&lt;&gt;""),1,0)</f>
        <v/>
      </c>
    </row>
    <row r="295">
      <c r="A295" s="5" t="inlineStr">
        <is>
          <t>ANAC</t>
        </is>
      </c>
      <c r="B295" s="5" t="inlineStr">
        <is>
          <t>AIR_CAP.GER.I</t>
        </is>
      </c>
      <c r="C295" s="5" t="inlineStr">
        <is>
          <t>AIR_CAP</t>
        </is>
      </c>
      <c r="D295" s="5" t="n">
        <v>1</v>
      </c>
      <c r="E295" s="5" t="inlineStr">
        <is>
          <t>Gerenciado</t>
        </is>
      </c>
      <c r="F295" s="5" t="inlineStr">
        <is>
          <t>I</t>
        </is>
      </c>
      <c r="G295" s="5" t="inlineStr">
        <is>
          <t>Capacitações em AIR estão institucionalizadas, sem um plano formalizado;</t>
        </is>
      </c>
      <c r="H295" s="6" t="n"/>
      <c r="I295" s="6" t="n"/>
      <c r="J295" s="6" t="n"/>
      <c r="K295" s="6" t="inlineStr">
        <is>
          <t>pendente</t>
        </is>
      </c>
      <c r="L295" s="6" t="n"/>
      <c r="M295" s="5">
        <f>IF(H295="SIM",1,0)</f>
        <v/>
      </c>
      <c r="N295" s="5">
        <f>IF(AND(H295="SIM",K295="validado",I295&lt;&gt;""),1,0)</f>
        <v/>
      </c>
    </row>
    <row r="296">
      <c r="A296" s="5" t="inlineStr">
        <is>
          <t>ANAC</t>
        </is>
      </c>
      <c r="B296" s="5" t="inlineStr">
        <is>
          <t>AIR_CAP.INI.I</t>
        </is>
      </c>
      <c r="C296" s="5" t="inlineStr">
        <is>
          <t>AIR_CAP</t>
        </is>
      </c>
      <c r="D296" s="5" t="n">
        <v>1</v>
      </c>
      <c r="E296" s="5" t="inlineStr">
        <is>
          <t>Inicial</t>
        </is>
      </c>
      <c r="F296" s="5" t="inlineStr">
        <is>
          <t>I</t>
        </is>
      </c>
      <c r="G296" s="5" t="inlineStr">
        <is>
          <t>Capacitações em AIR não estão institucionalizadas;</t>
        </is>
      </c>
      <c r="H296" s="6" t="n"/>
      <c r="I296" s="6" t="n"/>
      <c r="J296" s="6" t="n"/>
      <c r="K296" s="6" t="inlineStr">
        <is>
          <t>pendente</t>
        </is>
      </c>
      <c r="L296" s="6" t="n"/>
      <c r="M296" s="5">
        <f>IF(H296="SIM",1,0)</f>
        <v/>
      </c>
      <c r="N296" s="5">
        <f>IF(AND(H296="SIM",K296="validado",I296&lt;&gt;""),1,0)</f>
        <v/>
      </c>
    </row>
    <row r="297">
      <c r="A297" s="5" t="inlineStr">
        <is>
          <t>ANAC</t>
        </is>
      </c>
      <c r="B297" s="5" t="inlineStr">
        <is>
          <t>AIR_CAP.MC.II</t>
        </is>
      </c>
      <c r="C297" s="5" t="inlineStr">
        <is>
          <t>AIR_CAP</t>
        </is>
      </c>
      <c r="D297" s="5" t="n">
        <v>1</v>
      </c>
      <c r="E297" s="5" t="inlineStr">
        <is>
          <t>Melhoria Contínua</t>
        </is>
      </c>
      <c r="F297" s="5" t="inlineStr">
        <is>
          <t>II</t>
        </is>
      </c>
      <c r="G297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297" s="6" t="n"/>
      <c r="I297" s="6" t="n"/>
      <c r="J297" s="6" t="n"/>
      <c r="K297" s="6" t="inlineStr">
        <is>
          <t>pendente</t>
        </is>
      </c>
      <c r="L297" s="6" t="n"/>
      <c r="M297" s="5">
        <f>IF(H297="SIM",1,0)</f>
        <v/>
      </c>
      <c r="N297" s="5">
        <f>IF(AND(H297="SIM",K297="validado",I297&lt;&gt;""),1,0)</f>
        <v/>
      </c>
    </row>
    <row r="298">
      <c r="A298" s="5" t="inlineStr">
        <is>
          <t>ANAC</t>
        </is>
      </c>
      <c r="B298" s="5" t="inlineStr">
        <is>
          <t>AIR_CAP.GER.II</t>
        </is>
      </c>
      <c r="C298" s="5" t="inlineStr">
        <is>
          <t>AIR_CAP</t>
        </is>
      </c>
      <c r="D298" s="5" t="n">
        <v>1</v>
      </c>
      <c r="E298" s="5" t="inlineStr">
        <is>
          <t>Gerenciado</t>
        </is>
      </c>
      <c r="F298" s="5" t="inlineStr">
        <is>
          <t>II</t>
        </is>
      </c>
      <c r="G298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298" s="6" t="n"/>
      <c r="I298" s="6" t="n"/>
      <c r="J298" s="6" t="n"/>
      <c r="K298" s="6" t="inlineStr">
        <is>
          <t>pendente</t>
        </is>
      </c>
      <c r="L298" s="6" t="n"/>
      <c r="M298" s="5">
        <f>IF(H298="SIM",1,0)</f>
        <v/>
      </c>
      <c r="N298" s="5">
        <f>IF(AND(H298="SIM",K298="validado",I298&lt;&gt;""),1,0)</f>
        <v/>
      </c>
    </row>
    <row r="299">
      <c r="A299" s="5" t="inlineStr">
        <is>
          <t>ANAC</t>
        </is>
      </c>
      <c r="B299" s="5" t="inlineStr">
        <is>
          <t>AIR_CAP.INI.II</t>
        </is>
      </c>
      <c r="C299" s="5" t="inlineStr">
        <is>
          <t>AIR_CAP</t>
        </is>
      </c>
      <c r="D299" s="5" t="n">
        <v>1</v>
      </c>
      <c r="E299" s="5" t="inlineStr">
        <is>
          <t>Inicial</t>
        </is>
      </c>
      <c r="F299" s="5" t="inlineStr">
        <is>
          <t>II</t>
        </is>
      </c>
      <c r="G299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299" s="6" t="n"/>
      <c r="I299" s="6" t="n"/>
      <c r="J299" s="6" t="n"/>
      <c r="K299" s="6" t="inlineStr">
        <is>
          <t>pendente</t>
        </is>
      </c>
      <c r="L299" s="6" t="n"/>
      <c r="M299" s="5">
        <f>IF(H299="SIM",1,0)</f>
        <v/>
      </c>
      <c r="N299" s="5">
        <f>IF(AND(H299="SIM",K299="validado",I299&lt;&gt;""),1,0)</f>
        <v/>
      </c>
    </row>
    <row r="300">
      <c r="A300" s="5" t="inlineStr">
        <is>
          <t>ANAC</t>
        </is>
      </c>
      <c r="B300" s="5" t="inlineStr">
        <is>
          <t>AIR_CAP.MC.III</t>
        </is>
      </c>
      <c r="C300" s="5" t="inlineStr">
        <is>
          <t>AIR_CAP</t>
        </is>
      </c>
      <c r="D300" s="5" t="n">
        <v>1</v>
      </c>
      <c r="E300" s="5" t="inlineStr">
        <is>
          <t>Melhoria Contínua</t>
        </is>
      </c>
      <c r="F300" s="5" t="inlineStr">
        <is>
          <t>III</t>
        </is>
      </c>
      <c r="G300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00" s="6" t="n"/>
      <c r="I300" s="6" t="n"/>
      <c r="J300" s="6" t="n"/>
      <c r="K300" s="6" t="inlineStr">
        <is>
          <t>pendente</t>
        </is>
      </c>
      <c r="L300" s="6" t="n"/>
      <c r="M300" s="5">
        <f>IF(H300="SIM",1,0)</f>
        <v/>
      </c>
      <c r="N300" s="5">
        <f>IF(AND(H300="SIM",K300="validado",I300&lt;&gt;""),1,0)</f>
        <v/>
      </c>
    </row>
    <row r="301">
      <c r="A301" s="5" t="inlineStr">
        <is>
          <t>ANAC</t>
        </is>
      </c>
      <c r="B301" s="5" t="inlineStr">
        <is>
          <t>AIR_CAP.GER.III</t>
        </is>
      </c>
      <c r="C301" s="5" t="inlineStr">
        <is>
          <t>AIR_CAP</t>
        </is>
      </c>
      <c r="D301" s="5" t="n">
        <v>1</v>
      </c>
      <c r="E301" s="5" t="inlineStr">
        <is>
          <t>Gerenciado</t>
        </is>
      </c>
      <c r="F301" s="5" t="inlineStr">
        <is>
          <t>III</t>
        </is>
      </c>
      <c r="G301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01" s="6" t="n"/>
      <c r="I301" s="6" t="n"/>
      <c r="J301" s="6" t="n"/>
      <c r="K301" s="6" t="inlineStr">
        <is>
          <t>pendente</t>
        </is>
      </c>
      <c r="L301" s="6" t="n"/>
      <c r="M301" s="5">
        <f>IF(H301="SIM",1,0)</f>
        <v/>
      </c>
      <c r="N301" s="5">
        <f>IF(AND(H301="SIM",K301="validado",I301&lt;&gt;""),1,0)</f>
        <v/>
      </c>
    </row>
    <row r="302">
      <c r="A302" s="5" t="inlineStr">
        <is>
          <t>ANAC</t>
        </is>
      </c>
      <c r="B302" s="5" t="inlineStr">
        <is>
          <t>AIR_CAP.INI.III</t>
        </is>
      </c>
      <c r="C302" s="5" t="inlineStr">
        <is>
          <t>AIR_CAP</t>
        </is>
      </c>
      <c r="D302" s="5" t="n">
        <v>1</v>
      </c>
      <c r="E302" s="5" t="inlineStr">
        <is>
          <t>Inicial</t>
        </is>
      </c>
      <c r="F302" s="5" t="inlineStr">
        <is>
          <t>III</t>
        </is>
      </c>
      <c r="G302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302" s="6" t="n"/>
      <c r="I302" s="6" t="n"/>
      <c r="J302" s="6" t="n"/>
      <c r="K302" s="6" t="inlineStr">
        <is>
          <t>pendente</t>
        </is>
      </c>
      <c r="L302" s="6" t="n"/>
      <c r="M302" s="5">
        <f>IF(H302="SIM",1,0)</f>
        <v/>
      </c>
      <c r="N302" s="5">
        <f>IF(AND(H302="SIM",K302="validado",I302&lt;&gt;""),1,0)</f>
        <v/>
      </c>
    </row>
    <row r="303">
      <c r="A303" s="5" t="inlineStr">
        <is>
          <t>ANAC</t>
        </is>
      </c>
      <c r="B303" s="5" t="inlineStr">
        <is>
          <t>AIR_CAP.GER.IV</t>
        </is>
      </c>
      <c r="C303" s="5" t="inlineStr">
        <is>
          <t>AIR_CAP</t>
        </is>
      </c>
      <c r="D303" s="5" t="n">
        <v>1</v>
      </c>
      <c r="E303" s="5" t="inlineStr">
        <is>
          <t>Gerenciado</t>
        </is>
      </c>
      <c r="F303" s="5" t="inlineStr">
        <is>
          <t>IV</t>
        </is>
      </c>
      <c r="G303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03" s="6" t="n"/>
      <c r="I303" s="6" t="n"/>
      <c r="J303" s="6" t="n"/>
      <c r="K303" s="6" t="inlineStr">
        <is>
          <t>pendente</t>
        </is>
      </c>
      <c r="L303" s="6" t="n"/>
      <c r="M303" s="5">
        <f>IF(H303="SIM",1,0)</f>
        <v/>
      </c>
      <c r="N303" s="5">
        <f>IF(AND(H303="SIM",K303="validado",I303&lt;&gt;""),1,0)</f>
        <v/>
      </c>
    </row>
    <row r="304">
      <c r="A304" s="5" t="inlineStr">
        <is>
          <t>ANAC</t>
        </is>
      </c>
      <c r="B304" s="5" t="inlineStr">
        <is>
          <t>AIR_MET.MC.I</t>
        </is>
      </c>
      <c r="C304" s="5" t="inlineStr">
        <is>
          <t>AIR_MET</t>
        </is>
      </c>
      <c r="D304" s="5" t="n">
        <v>1</v>
      </c>
      <c r="E304" s="5" t="inlineStr">
        <is>
          <t>Melhoria Contínua</t>
        </is>
      </c>
      <c r="F304" s="5" t="inlineStr">
        <is>
          <t>I</t>
        </is>
      </c>
      <c r="G304" s="5" t="inlineStr">
        <is>
          <t>Critérios objetivos estabelecidos para classificação quanto ao nível de impacto e complexidade da AIR;</t>
        </is>
      </c>
      <c r="H304" s="6" t="n"/>
      <c r="I304" s="6" t="n"/>
      <c r="J304" s="6" t="n"/>
      <c r="K304" s="6" t="inlineStr">
        <is>
          <t>pendente</t>
        </is>
      </c>
      <c r="L304" s="6" t="n"/>
      <c r="M304" s="5">
        <f>IF(H304="SIM",1,0)</f>
        <v/>
      </c>
      <c r="N304" s="5">
        <f>IF(AND(H304="SIM",K304="validado",I304&lt;&gt;""),1,0)</f>
        <v/>
      </c>
    </row>
    <row r="305">
      <c r="A305" s="5" t="inlineStr">
        <is>
          <t>ANAC</t>
        </is>
      </c>
      <c r="B305" s="5" t="inlineStr">
        <is>
          <t>AIR_MET.GER.I</t>
        </is>
      </c>
      <c r="C305" s="5" t="inlineStr">
        <is>
          <t>AIR_MET</t>
        </is>
      </c>
      <c r="D305" s="5" t="n">
        <v>1</v>
      </c>
      <c r="E305" s="5" t="inlineStr">
        <is>
          <t>Gerenciado</t>
        </is>
      </c>
      <c r="F305" s="5" t="inlineStr">
        <is>
          <t>I</t>
        </is>
      </c>
      <c r="G305" s="5" t="inlineStr">
        <is>
          <t>Existência de manual ou ato normativo interno instituindo a aplicabilidade institucional da AIR;</t>
        </is>
      </c>
      <c r="H305" s="6" t="n"/>
      <c r="I305" s="6" t="n"/>
      <c r="J305" s="6" t="n"/>
      <c r="K305" s="6" t="inlineStr">
        <is>
          <t>pendente</t>
        </is>
      </c>
      <c r="L305" s="6" t="n"/>
      <c r="M305" s="5">
        <f>IF(H305="SIM",1,0)</f>
        <v/>
      </c>
      <c r="N305" s="5">
        <f>IF(AND(H305="SIM",K305="validado",I305&lt;&gt;""),1,0)</f>
        <v/>
      </c>
    </row>
    <row r="306">
      <c r="A306" s="5" t="inlineStr">
        <is>
          <t>ANAC</t>
        </is>
      </c>
      <c r="B306" s="5" t="inlineStr">
        <is>
          <t>AIR_MET.INI.I</t>
        </is>
      </c>
      <c r="C306" s="5" t="inlineStr">
        <is>
          <t>AIR_MET</t>
        </is>
      </c>
      <c r="D306" s="5" t="n">
        <v>1</v>
      </c>
      <c r="E306" s="5" t="inlineStr">
        <is>
          <t>Inicial</t>
        </is>
      </c>
      <c r="F306" s="5" t="inlineStr">
        <is>
          <t>I</t>
        </is>
      </c>
      <c r="G306" s="5" t="inlineStr">
        <is>
          <t>houve a publicação de normativo interno dispondo sobre a aplicação da AIR na instituição, conforme Decreto nº 10.411, de 2020.</t>
        </is>
      </c>
      <c r="H306" s="6" t="n"/>
      <c r="I306" s="6" t="n"/>
      <c r="J306" s="6" t="n"/>
      <c r="K306" s="6" t="inlineStr">
        <is>
          <t>pendente</t>
        </is>
      </c>
      <c r="L306" s="6" t="n"/>
      <c r="M306" s="5">
        <f>IF(H306="SIM",1,0)</f>
        <v/>
      </c>
      <c r="N306" s="5">
        <f>IF(AND(H306="SIM",K306="validado",I306&lt;&gt;""),1,0)</f>
        <v/>
      </c>
    </row>
    <row r="307">
      <c r="A307" s="5" t="inlineStr">
        <is>
          <t>ANAC</t>
        </is>
      </c>
      <c r="B307" s="5" t="inlineStr">
        <is>
          <t>AIR_MET.MC.II</t>
        </is>
      </c>
      <c r="C307" s="5" t="inlineStr">
        <is>
          <t>AIR_MET</t>
        </is>
      </c>
      <c r="D307" s="5" t="n">
        <v>1</v>
      </c>
      <c r="E307" s="5" t="inlineStr">
        <is>
          <t>Melhoria Contínua</t>
        </is>
      </c>
      <c r="F307" s="5" t="inlineStr">
        <is>
          <t>II</t>
        </is>
      </c>
      <c r="G307" s="5" t="inlineStr">
        <is>
          <t>Metodologia contempla participação social prévia e posterior à elaboração da AIR, conforme complexidade do ato.</t>
        </is>
      </c>
      <c r="H307" s="6" t="n"/>
      <c r="I307" s="6" t="n"/>
      <c r="J307" s="6" t="n"/>
      <c r="K307" s="6" t="inlineStr">
        <is>
          <t>pendente</t>
        </is>
      </c>
      <c r="L307" s="6" t="n"/>
      <c r="M307" s="5">
        <f>IF(H307="SIM",1,0)</f>
        <v/>
      </c>
      <c r="N307" s="5">
        <f>IF(AND(H307="SIM",K307="validado",I307&lt;&gt;""),1,0)</f>
        <v/>
      </c>
    </row>
    <row r="308">
      <c r="A308" s="5" t="inlineStr">
        <is>
          <t>ANAC</t>
        </is>
      </c>
      <c r="B308" s="5" t="inlineStr">
        <is>
          <t>AIR_MET.GER.II</t>
        </is>
      </c>
      <c r="C308" s="5" t="inlineStr">
        <is>
          <t>AIR_MET</t>
        </is>
      </c>
      <c r="D308" s="5" t="n">
        <v>1</v>
      </c>
      <c r="E308" s="5" t="inlineStr">
        <is>
          <t>Gerenciado</t>
        </is>
      </c>
      <c r="F308" s="5" t="inlineStr">
        <is>
          <t>II</t>
        </is>
      </c>
      <c r="G308" s="5" t="inlineStr">
        <is>
          <t>Existência de manual ou ato normativo dispondo sobre a participação social posterior relativa à AIR.</t>
        </is>
      </c>
      <c r="H308" s="6" t="n"/>
      <c r="I308" s="6" t="n"/>
      <c r="J308" s="6" t="n"/>
      <c r="K308" s="6" t="inlineStr">
        <is>
          <t>pendente</t>
        </is>
      </c>
      <c r="L308" s="6" t="n"/>
      <c r="M308" s="5">
        <f>IF(H308="SIM",1,0)</f>
        <v/>
      </c>
      <c r="N308" s="5">
        <f>IF(AND(H308="SIM",K308="validado",I308&lt;&gt;""),1,0)</f>
        <v/>
      </c>
    </row>
    <row r="309">
      <c r="A309" s="5" t="inlineStr">
        <is>
          <t>ANAC</t>
        </is>
      </c>
      <c r="B309" s="5" t="inlineStr">
        <is>
          <t>AIR_PRO.MC.I</t>
        </is>
      </c>
      <c r="C309" s="5" t="inlineStr">
        <is>
          <t>AIR_PRO</t>
        </is>
      </c>
      <c r="D309" s="5" t="n">
        <v>1</v>
      </c>
      <c r="E309" s="5" t="inlineStr">
        <is>
          <t>Melhoria Contínua</t>
        </is>
      </c>
      <c r="F309" s="5" t="inlineStr">
        <is>
          <t>I</t>
        </is>
      </c>
      <c r="G309" s="5" t="inlineStr">
        <is>
          <t>Há processo contínuo de avaliação e melhoria do processo de elaboração de AIR;</t>
        </is>
      </c>
      <c r="H309" s="6" t="n"/>
      <c r="I309" s="6" t="n"/>
      <c r="J309" s="6" t="n"/>
      <c r="K309" s="6" t="inlineStr">
        <is>
          <t>pendente</t>
        </is>
      </c>
      <c r="L309" s="6" t="n"/>
      <c r="M309" s="5">
        <f>IF(H309="SIM",1,0)</f>
        <v/>
      </c>
      <c r="N309" s="5">
        <f>IF(AND(H309="SIM",K309="validado",I309&lt;&gt;""),1,0)</f>
        <v/>
      </c>
    </row>
    <row r="310">
      <c r="A310" s="5" t="inlineStr">
        <is>
          <t>ANAC</t>
        </is>
      </c>
      <c r="B310" s="5" t="inlineStr">
        <is>
          <t>AIR_PRO.GER.I</t>
        </is>
      </c>
      <c r="C310" s="5" t="inlineStr">
        <is>
          <t>AIR_PRO</t>
        </is>
      </c>
      <c r="D310" s="5" t="n">
        <v>1</v>
      </c>
      <c r="E310" s="5" t="inlineStr">
        <is>
          <t>Gerenciado</t>
        </is>
      </c>
      <c r="F310" s="5" t="inlineStr">
        <is>
          <t>I</t>
        </is>
      </c>
      <c r="G310" s="5" t="inlineStr">
        <is>
          <t>Todas as AIRs são sempre realizadas conforme manual ou ato normativo interno e publicadas e acessíveis ao público na internet;</t>
        </is>
      </c>
      <c r="H310" s="6" t="n"/>
      <c r="I310" s="6" t="n"/>
      <c r="J310" s="6" t="n"/>
      <c r="K310" s="6" t="inlineStr">
        <is>
          <t>pendente</t>
        </is>
      </c>
      <c r="L310" s="6" t="n"/>
      <c r="M310" s="5">
        <f>IF(H310="SIM",1,0)</f>
        <v/>
      </c>
      <c r="N310" s="5">
        <f>IF(AND(H310="SIM",K310="validado",I310&lt;&gt;""),1,0)</f>
        <v/>
      </c>
    </row>
    <row r="311">
      <c r="A311" s="5" t="inlineStr">
        <is>
          <t>ANAC</t>
        </is>
      </c>
      <c r="B311" s="5" t="inlineStr">
        <is>
          <t>AIR_PRO.INI.I</t>
        </is>
      </c>
      <c r="C311" s="5" t="inlineStr">
        <is>
          <t>AIR_PRO</t>
        </is>
      </c>
      <c r="D311" s="5" t="n">
        <v>1</v>
      </c>
      <c r="E311" s="5" t="inlineStr">
        <is>
          <t>Inicial</t>
        </is>
      </c>
      <c r="F311" s="5" t="inlineStr">
        <is>
          <t>I</t>
        </is>
      </c>
      <c r="G311" s="5" t="inlineStr">
        <is>
          <t>AIR é sempre realizada e a dispensa justificada, conforme critérios objetivos estabelecidos, conforme Decreto nº 10.411, de 2020;</t>
        </is>
      </c>
      <c r="H311" s="6" t="n"/>
      <c r="I311" s="6" t="n"/>
      <c r="J311" s="6" t="n"/>
      <c r="K311" s="6" t="inlineStr">
        <is>
          <t>pendente</t>
        </is>
      </c>
      <c r="L311" s="6" t="n"/>
      <c r="M311" s="5">
        <f>IF(H311="SIM",1,0)</f>
        <v/>
      </c>
      <c r="N311" s="5">
        <f>IF(AND(H311="SIM",K311="validado",I311&lt;&gt;""),1,0)</f>
        <v/>
      </c>
    </row>
    <row r="312">
      <c r="A312" s="5" t="inlineStr">
        <is>
          <t>ANAC</t>
        </is>
      </c>
      <c r="B312" s="5" t="inlineStr">
        <is>
          <t>AIR_PRO.MC.II</t>
        </is>
      </c>
      <c r="C312" s="5" t="inlineStr">
        <is>
          <t>AIR_PRO</t>
        </is>
      </c>
      <c r="D312" s="5" t="n">
        <v>1</v>
      </c>
      <c r="E312" s="5" t="inlineStr">
        <is>
          <t>Melhoria Contínua</t>
        </is>
      </c>
      <c r="F312" s="5" t="inlineStr">
        <is>
          <t>II</t>
        </is>
      </c>
      <c r="G312" s="5" t="inlineStr">
        <is>
          <t>Existência de instrumento de avaliação de qualidade das AIRs realizadas;</t>
        </is>
      </c>
      <c r="H312" s="6" t="n"/>
      <c r="I312" s="6" t="n"/>
      <c r="J312" s="6" t="n"/>
      <c r="K312" s="6" t="inlineStr">
        <is>
          <t>pendente</t>
        </is>
      </c>
      <c r="L312" s="6" t="n"/>
      <c r="M312" s="5">
        <f>IF(H312="SIM",1,0)</f>
        <v/>
      </c>
      <c r="N312" s="5">
        <f>IF(AND(H312="SIM",K312="validado",I312&lt;&gt;""),1,0)</f>
        <v/>
      </c>
    </row>
    <row r="313">
      <c r="A313" s="5" t="inlineStr">
        <is>
          <t>ANAC</t>
        </is>
      </c>
      <c r="B313" s="5" t="inlineStr">
        <is>
          <t>AIR_PRO.GER.II</t>
        </is>
      </c>
      <c r="C313" s="5" t="inlineStr">
        <is>
          <t>AIR_PRO</t>
        </is>
      </c>
      <c r="D313" s="5" t="n">
        <v>1</v>
      </c>
      <c r="E313" s="5" t="inlineStr">
        <is>
          <t>Gerenciado</t>
        </is>
      </c>
      <c r="F313" s="5" t="inlineStr">
        <is>
          <t>II</t>
        </is>
      </c>
      <c r="G313" s="5" t="inlineStr">
        <is>
          <t>O processo de elaboração de AIR está mapeado na instituição;</t>
        </is>
      </c>
      <c r="H313" s="6" t="n"/>
      <c r="I313" s="6" t="n"/>
      <c r="J313" s="6" t="n"/>
      <c r="K313" s="6" t="inlineStr">
        <is>
          <t>pendente</t>
        </is>
      </c>
      <c r="L313" s="6" t="n"/>
      <c r="M313" s="5">
        <f>IF(H313="SIM",1,0)</f>
        <v/>
      </c>
      <c r="N313" s="5">
        <f>IF(AND(H313="SIM",K313="validado",I313&lt;&gt;""),1,0)</f>
        <v/>
      </c>
    </row>
    <row r="314">
      <c r="A314" s="5" t="inlineStr">
        <is>
          <t>ANAC</t>
        </is>
      </c>
      <c r="B314" s="5" t="inlineStr">
        <is>
          <t>AIR_PRO.INI.II</t>
        </is>
      </c>
      <c r="C314" s="5" t="inlineStr">
        <is>
          <t>AIR_PRO</t>
        </is>
      </c>
      <c r="D314" s="5" t="n">
        <v>1</v>
      </c>
      <c r="E314" s="5" t="inlineStr">
        <is>
          <t>Inicial</t>
        </is>
      </c>
      <c r="F314" s="5" t="inlineStr">
        <is>
          <t>II</t>
        </is>
      </c>
      <c r="G314" s="5" t="inlineStr">
        <is>
          <t>Todas as AIRs são publicadas e acessíveis ao público na internet;</t>
        </is>
      </c>
      <c r="H314" s="6" t="n"/>
      <c r="I314" s="6" t="n"/>
      <c r="J314" s="6" t="n"/>
      <c r="K314" s="6" t="inlineStr">
        <is>
          <t>pendente</t>
        </is>
      </c>
      <c r="L314" s="6" t="n"/>
      <c r="M314" s="5">
        <f>IF(H314="SIM",1,0)</f>
        <v/>
      </c>
      <c r="N314" s="5">
        <f>IF(AND(H314="SIM",K314="validado",I314&lt;&gt;""),1,0)</f>
        <v/>
      </c>
    </row>
    <row r="315">
      <c r="A315" s="5" t="inlineStr">
        <is>
          <t>ANAC</t>
        </is>
      </c>
      <c r="B315" s="5" t="inlineStr">
        <is>
          <t>AIR_PRO.MC.III</t>
        </is>
      </c>
      <c r="C315" s="5" t="inlineStr">
        <is>
          <t>AIR_PRO</t>
        </is>
      </c>
      <c r="D315" s="5" t="n">
        <v>1</v>
      </c>
      <c r="E315" s="5" t="inlineStr">
        <is>
          <t>Melhoria Contínua</t>
        </is>
      </c>
      <c r="F315" s="5" t="inlineStr">
        <is>
          <t>III</t>
        </is>
      </c>
      <c r="G315" s="5" t="inlineStr">
        <is>
          <t>As AIRs de alto impacto/alta complexidade são submetidas à participação social prévia e posterior.</t>
        </is>
      </c>
      <c r="H315" s="6" t="n"/>
      <c r="I315" s="6" t="n"/>
      <c r="J315" s="6" t="n"/>
      <c r="K315" s="6" t="inlineStr">
        <is>
          <t>pendente</t>
        </is>
      </c>
      <c r="L315" s="6" t="n"/>
      <c r="M315" s="5">
        <f>IF(H315="SIM",1,0)</f>
        <v/>
      </c>
      <c r="N315" s="5">
        <f>IF(AND(H315="SIM",K315="validado",I315&lt;&gt;""),1,0)</f>
        <v/>
      </c>
    </row>
    <row r="316">
      <c r="A316" s="5" t="inlineStr">
        <is>
          <t>ANAC</t>
        </is>
      </c>
      <c r="B316" s="5" t="inlineStr">
        <is>
          <t>AIR_PRO.GER.III</t>
        </is>
      </c>
      <c r="C316" s="5" t="inlineStr">
        <is>
          <t>AIR_PRO</t>
        </is>
      </c>
      <c r="D316" s="5" t="n">
        <v>1</v>
      </c>
      <c r="E316" s="5" t="inlineStr">
        <is>
          <t>Gerenciado</t>
        </is>
      </c>
      <c r="F316" s="5" t="inlineStr">
        <is>
          <t>III</t>
        </is>
      </c>
      <c r="G316" s="5" t="inlineStr">
        <is>
          <t>As AIRs são objeto de participação social posterior, conforme decisão técnica.</t>
        </is>
      </c>
      <c r="H316" s="6" t="n"/>
      <c r="I316" s="6" t="n"/>
      <c r="J316" s="6" t="n"/>
      <c r="K316" s="6" t="inlineStr">
        <is>
          <t>pendente</t>
        </is>
      </c>
      <c r="L316" s="6" t="n"/>
      <c r="M316" s="5">
        <f>IF(H316="SIM",1,0)</f>
        <v/>
      </c>
      <c r="N316" s="5">
        <f>IF(AND(H316="SIM",K316="validado",I316&lt;&gt;""),1,0)</f>
        <v/>
      </c>
    </row>
    <row r="317">
      <c r="A317" s="5" t="inlineStr">
        <is>
          <t>ANAC</t>
        </is>
      </c>
      <c r="B317" s="5" t="inlineStr">
        <is>
          <t>AIR_PRO.INI.III</t>
        </is>
      </c>
      <c r="C317" s="5" t="inlineStr">
        <is>
          <t>AIR_PRO</t>
        </is>
      </c>
      <c r="D317" s="5" t="n">
        <v>1</v>
      </c>
      <c r="E317" s="5" t="inlineStr">
        <is>
          <t>Inicial</t>
        </is>
      </c>
      <c r="F317" s="5" t="inlineStr">
        <is>
          <t>III</t>
        </is>
      </c>
      <c r="G317" s="5" t="inlineStr">
        <is>
          <t>Participação Social é realizada, conforme Decreto nº 10.411, de 2020.</t>
        </is>
      </c>
      <c r="H317" s="6" t="n"/>
      <c r="I317" s="6" t="n"/>
      <c r="J317" s="6" t="n"/>
      <c r="K317" s="6" t="inlineStr">
        <is>
          <t>pendente</t>
        </is>
      </c>
      <c r="L317" s="6" t="n"/>
      <c r="M317" s="5">
        <f>IF(H317="SIM",1,0)</f>
        <v/>
      </c>
      <c r="N317" s="5">
        <f>IF(AND(H317="SIM",K317="validado",I317&lt;&gt;""),1,0)</f>
        <v/>
      </c>
    </row>
    <row r="318">
      <c r="A318" s="5" t="inlineStr">
        <is>
          <t>ANAC</t>
        </is>
      </c>
      <c r="B318" s="5" t="inlineStr">
        <is>
          <t>PS.MC.I</t>
        </is>
      </c>
      <c r="C318" s="5" t="inlineStr">
        <is>
          <t>PS</t>
        </is>
      </c>
      <c r="D318" s="5" t="n">
        <v>2</v>
      </c>
      <c r="E318" s="5" t="inlineStr">
        <is>
          <t>Melhoria Contínua</t>
        </is>
      </c>
      <c r="F318" s="5" t="inlineStr">
        <is>
          <t>I</t>
        </is>
      </c>
      <c r="G318" s="5" t="inlineStr">
        <is>
          <t>A instituição realiza eventos de participação social para a construção do conhecimento sobre dada matéria e para o desenvolvimento de propostas;</t>
        </is>
      </c>
      <c r="H318" s="6" t="n"/>
      <c r="I318" s="6" t="n"/>
      <c r="J318" s="6" t="n"/>
      <c r="K318" s="6" t="inlineStr">
        <is>
          <t>pendente</t>
        </is>
      </c>
      <c r="L318" s="6" t="n"/>
      <c r="M318" s="5">
        <f>IF(H318="SIM",1,0)</f>
        <v/>
      </c>
      <c r="N318" s="5">
        <f>IF(AND(H318="SIM",K318="validado",I318&lt;&gt;""),1,0)</f>
        <v/>
      </c>
    </row>
    <row r="319">
      <c r="A319" s="5" t="inlineStr">
        <is>
          <t>ANAC</t>
        </is>
      </c>
      <c r="B319" s="5" t="inlineStr">
        <is>
          <t>PS.GER.I</t>
        </is>
      </c>
      <c r="C319" s="5" t="inlineStr">
        <is>
          <t>PS</t>
        </is>
      </c>
      <c r="D319" s="5" t="n">
        <v>2</v>
      </c>
      <c r="E319" s="5" t="inlineStr">
        <is>
          <t>Gerenciado</t>
        </is>
      </c>
      <c r="F319" s="5" t="inlineStr">
        <is>
          <t>I</t>
        </is>
      </c>
      <c r="G319" s="5" t="inlineStr">
        <is>
          <t>Existência de manual ou ato normativo interno instituindo metodologia e procedimento de participação social;</t>
        </is>
      </c>
      <c r="H319" s="6" t="n"/>
      <c r="I319" s="6" t="n"/>
      <c r="J319" s="6" t="n"/>
      <c r="K319" s="6" t="inlineStr">
        <is>
          <t>pendente</t>
        </is>
      </c>
      <c r="L319" s="6" t="n"/>
      <c r="M319" s="5">
        <f>IF(H319="SIM",1,0)</f>
        <v/>
      </c>
      <c r="N319" s="5">
        <f>IF(AND(H319="SIM",K319="validado",I319&lt;&gt;""),1,0)</f>
        <v/>
      </c>
    </row>
    <row r="320">
      <c r="A320" s="5" t="inlineStr">
        <is>
          <t>ANAC</t>
        </is>
      </c>
      <c r="B320" s="5" t="inlineStr">
        <is>
          <t>PS.INI.I</t>
        </is>
      </c>
      <c r="C320" s="5" t="inlineStr">
        <is>
          <t>PS</t>
        </is>
      </c>
      <c r="D320" s="5" t="n">
        <v>2</v>
      </c>
      <c r="E320" s="5" t="inlineStr">
        <is>
          <t>Inicial</t>
        </is>
      </c>
      <c r="F320" s="5" t="inlineStr">
        <is>
          <t>I</t>
        </is>
      </c>
      <c r="G320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320" s="6" t="n"/>
      <c r="I320" s="6" t="n"/>
      <c r="J320" s="6" t="n"/>
      <c r="K320" s="6" t="inlineStr">
        <is>
          <t>pendente</t>
        </is>
      </c>
      <c r="L320" s="6" t="n"/>
      <c r="M320" s="5">
        <f>IF(H320="SIM",1,0)</f>
        <v/>
      </c>
      <c r="N320" s="5">
        <f>IF(AND(H320="SIM",K320="validado",I320&lt;&gt;""),1,0)</f>
        <v/>
      </c>
    </row>
    <row r="321">
      <c r="A321" s="5" t="inlineStr">
        <is>
          <t>ANAC</t>
        </is>
      </c>
      <c r="B321" s="5" t="inlineStr">
        <is>
          <t>PS.MC.II</t>
        </is>
      </c>
      <c r="C321" s="5" t="inlineStr">
        <is>
          <t>PS</t>
        </is>
      </c>
      <c r="D321" s="5" t="n">
        <v>2</v>
      </c>
      <c r="E321" s="5" t="inlineStr">
        <is>
          <t>Melhoria Contínua</t>
        </is>
      </c>
      <c r="F321" s="5" t="inlineStr">
        <is>
          <t>II</t>
        </is>
      </c>
      <c r="G321" s="5" t="inlineStr">
        <is>
          <t>Relatórios da Ouvidoria, relatórios do portal consumidor.gov, pesquisas de satisfação e dados de atendimento são utilizados para subsidiar as decisões regulatórias;</t>
        </is>
      </c>
      <c r="H321" s="6" t="n"/>
      <c r="I321" s="6" t="n"/>
      <c r="J321" s="6" t="n"/>
      <c r="K321" s="6" t="inlineStr">
        <is>
          <t>pendente</t>
        </is>
      </c>
      <c r="L321" s="6" t="n"/>
      <c r="M321" s="5">
        <f>IF(H321="SIM",1,0)</f>
        <v/>
      </c>
      <c r="N321" s="5">
        <f>IF(AND(H321="SIM",K321="validado",I321&lt;&gt;""),1,0)</f>
        <v/>
      </c>
    </row>
    <row r="322">
      <c r="A322" s="5" t="inlineStr">
        <is>
          <t>ANAC</t>
        </is>
      </c>
      <c r="B322" s="5" t="inlineStr">
        <is>
          <t>PS.GER.II</t>
        </is>
      </c>
      <c r="C322" s="5" t="inlineStr">
        <is>
          <t>PS</t>
        </is>
      </c>
      <c r="D322" s="5" t="n">
        <v>2</v>
      </c>
      <c r="E322" s="5" t="inlineStr">
        <is>
          <t>Gerenciado</t>
        </is>
      </c>
      <c r="F322" s="5" t="inlineStr">
        <is>
          <t>II</t>
        </is>
      </c>
      <c r="G322" s="5" t="inlineStr">
        <is>
          <t>Os relatórios da Ouvidoria e os relatórios do portal consumidor.gov são utilizados para subsidiar as decisões regulatórias;</t>
        </is>
      </c>
      <c r="H322" s="6" t="n"/>
      <c r="I322" s="6" t="n"/>
      <c r="J322" s="6" t="n"/>
      <c r="K322" s="6" t="inlineStr">
        <is>
          <t>pendente</t>
        </is>
      </c>
      <c r="L322" s="6" t="n"/>
      <c r="M322" s="5">
        <f>IF(H322="SIM",1,0)</f>
        <v/>
      </c>
      <c r="N322" s="5">
        <f>IF(AND(H322="SIM",K322="validado",I322&lt;&gt;""),1,0)</f>
        <v/>
      </c>
    </row>
    <row r="323">
      <c r="A323" s="5" t="inlineStr">
        <is>
          <t>ANAC</t>
        </is>
      </c>
      <c r="B323" s="5" t="inlineStr">
        <is>
          <t>PS.MC.III</t>
        </is>
      </c>
      <c r="C323" s="5" t="inlineStr">
        <is>
          <t>PS</t>
        </is>
      </c>
      <c r="D323" s="5" t="n">
        <v>2</v>
      </c>
      <c r="E323" s="5" t="inlineStr">
        <is>
          <t>Melhoria Contínua</t>
        </is>
      </c>
      <c r="F323" s="5" t="inlineStr">
        <is>
          <t>III</t>
        </is>
      </c>
      <c r="G323" s="5" t="inlineStr">
        <is>
          <t>Todos os instrumentos, processos e relatórios contendo as contribuições analisadas são divulgados no portal do órgão e/ou plataforma Participa Mais Brasil;</t>
        </is>
      </c>
      <c r="H323" s="6" t="n"/>
      <c r="I323" s="6" t="n"/>
      <c r="J323" s="6" t="n"/>
      <c r="K323" s="6" t="inlineStr">
        <is>
          <t>pendente</t>
        </is>
      </c>
      <c r="L323" s="6" t="n"/>
      <c r="M323" s="5">
        <f>IF(H323="SIM",1,0)</f>
        <v/>
      </c>
      <c r="N323" s="5">
        <f>IF(AND(H323="SIM",K323="validado",I323&lt;&gt;""),1,0)</f>
        <v/>
      </c>
    </row>
    <row r="324">
      <c r="A324" s="5" t="inlineStr">
        <is>
          <t>ANAC</t>
        </is>
      </c>
      <c r="B324" s="5" t="inlineStr">
        <is>
          <t>PS.GER.III</t>
        </is>
      </c>
      <c r="C324" s="5" t="inlineStr">
        <is>
          <t>PS</t>
        </is>
      </c>
      <c r="D324" s="5" t="n">
        <v>2</v>
      </c>
      <c r="E324" s="5" t="inlineStr">
        <is>
          <t>Gerenciado</t>
        </is>
      </c>
      <c r="F324" s="5" t="inlineStr">
        <is>
          <t>III</t>
        </is>
      </c>
      <c r="G324" s="5" t="inlineStr">
        <is>
          <t>Todas as informações relativas aos processos em andamento são divulgadas no portal do órgão e/ou plataforma Participa Mais Brasil;</t>
        </is>
      </c>
      <c r="H324" s="6" t="n"/>
      <c r="I324" s="6" t="n"/>
      <c r="J324" s="6" t="n"/>
      <c r="K324" s="6" t="inlineStr">
        <is>
          <t>pendente</t>
        </is>
      </c>
      <c r="L324" s="6" t="n"/>
      <c r="M324" s="5">
        <f>IF(H324="SIM",1,0)</f>
        <v/>
      </c>
      <c r="N324" s="5">
        <f>IF(AND(H324="SIM",K324="validado",I324&lt;&gt;""),1,0)</f>
        <v/>
      </c>
    </row>
    <row r="325">
      <c r="A325" s="5" t="inlineStr">
        <is>
          <t>ANAC</t>
        </is>
      </c>
      <c r="B325" s="5" t="inlineStr">
        <is>
          <t>PS.MC.IV</t>
        </is>
      </c>
      <c r="C325" s="5" t="inlineStr">
        <is>
          <t>PS</t>
        </is>
      </c>
      <c r="D325" s="5" t="n">
        <v>2</v>
      </c>
      <c r="E325" s="5" t="inlineStr">
        <is>
          <t>Melhoria Contínua</t>
        </is>
      </c>
      <c r="F325" s="5" t="inlineStr">
        <is>
          <t>IV</t>
        </is>
      </c>
      <c r="G325" s="5" t="inlineStr">
        <is>
          <t>A efetividade do evento de participação social é mensurada, conforme metodologia instituída.</t>
        </is>
      </c>
      <c r="H325" s="6" t="n"/>
      <c r="I325" s="6" t="n"/>
      <c r="J325" s="6" t="n"/>
      <c r="K325" s="6" t="inlineStr">
        <is>
          <t>pendente</t>
        </is>
      </c>
      <c r="L325" s="6" t="n"/>
      <c r="M325" s="5">
        <f>IF(H325="SIM",1,0)</f>
        <v/>
      </c>
      <c r="N325" s="5">
        <f>IF(AND(H325="SIM",K325="validado",I325&lt;&gt;""),1,0)</f>
        <v/>
      </c>
    </row>
    <row r="326">
      <c r="A326" s="5" t="inlineStr">
        <is>
          <t>ANAC</t>
        </is>
      </c>
      <c r="B326" s="5" t="inlineStr">
        <is>
          <t>PS.GER.IV</t>
        </is>
      </c>
      <c r="C326" s="5" t="inlineStr">
        <is>
          <t>PS</t>
        </is>
      </c>
      <c r="D326" s="5" t="n">
        <v>2</v>
      </c>
      <c r="E326" s="5" t="inlineStr">
        <is>
          <t>Gerenciado</t>
        </is>
      </c>
      <c r="F326" s="5" t="inlineStr">
        <is>
          <t>IV</t>
        </is>
      </c>
      <c r="G326" s="5" t="inlineStr">
        <is>
          <t>A efetividade do evento de participação social é avaliada de forma intuitiva.</t>
        </is>
      </c>
      <c r="H326" s="6" t="n"/>
      <c r="I326" s="6" t="n"/>
      <c r="J326" s="6" t="n"/>
      <c r="K326" s="6" t="inlineStr">
        <is>
          <t>pendente</t>
        </is>
      </c>
      <c r="L326" s="6" t="n"/>
      <c r="M326" s="5">
        <f>IF(H326="SIM",1,0)</f>
        <v/>
      </c>
      <c r="N326" s="5">
        <f>IF(AND(H326="SIM",K326="validado",I326&lt;&gt;""),1,0)</f>
        <v/>
      </c>
    </row>
    <row r="327">
      <c r="A327" s="5" t="inlineStr">
        <is>
          <t>ANAC</t>
        </is>
      </c>
      <c r="B327" s="5" t="inlineStr">
        <is>
          <t>EST.MC.I</t>
        </is>
      </c>
      <c r="C327" s="5" t="inlineStr">
        <is>
          <t>EST</t>
        </is>
      </c>
      <c r="D327" s="5" t="n">
        <v>3</v>
      </c>
      <c r="E327" s="5" t="inlineStr">
        <is>
          <t>Melhoria Contínua</t>
        </is>
      </c>
      <c r="F327" s="5" t="inlineStr">
        <is>
          <t>I</t>
        </is>
      </c>
      <c r="G327" s="5" t="inlineStr">
        <is>
          <t>As alterações do estoque regulatório da instituição são priorizadas por meio de uma agenda regulatória;</t>
        </is>
      </c>
      <c r="H327" s="6" t="n"/>
      <c r="I327" s="6" t="n"/>
      <c r="J327" s="6" t="n"/>
      <c r="K327" s="6" t="inlineStr">
        <is>
          <t>pendente</t>
        </is>
      </c>
      <c r="L327" s="6" t="n"/>
      <c r="M327" s="5">
        <f>IF(H327="SIM",1,0)</f>
        <v/>
      </c>
      <c r="N327" s="5">
        <f>IF(AND(H327="SIM",K327="validado",I327&lt;&gt;""),1,0)</f>
        <v/>
      </c>
    </row>
    <row r="328">
      <c r="A328" s="5" t="inlineStr">
        <is>
          <t>ANAC</t>
        </is>
      </c>
      <c r="B328" s="5" t="inlineStr">
        <is>
          <t>EST.GER.I</t>
        </is>
      </c>
      <c r="C328" s="5" t="inlineStr">
        <is>
          <t>EST</t>
        </is>
      </c>
      <c r="D328" s="5" t="n">
        <v>3</v>
      </c>
      <c r="E328" s="5" t="inlineStr">
        <is>
          <t>Gerenciado</t>
        </is>
      </c>
      <c r="F328" s="5" t="inlineStr">
        <is>
          <t>I</t>
        </is>
      </c>
      <c r="G328" s="5" t="inlineStr">
        <is>
          <t>Normas publicadas e disponíveis de maneira sistematizada para consulta pública no portal gov.br;</t>
        </is>
      </c>
      <c r="H328" s="6" t="n"/>
      <c r="I328" s="6" t="n"/>
      <c r="J328" s="6" t="n"/>
      <c r="K328" s="6" t="inlineStr">
        <is>
          <t>pendente</t>
        </is>
      </c>
      <c r="L328" s="6" t="n"/>
      <c r="M328" s="5">
        <f>IF(H328="SIM",1,0)</f>
        <v/>
      </c>
      <c r="N328" s="5">
        <f>IF(AND(H328="SIM",K328="validado",I328&lt;&gt;""),1,0)</f>
        <v/>
      </c>
    </row>
    <row r="329">
      <c r="A329" s="5" t="inlineStr">
        <is>
          <t>ANAC</t>
        </is>
      </c>
      <c r="B329" s="5" t="inlineStr">
        <is>
          <t>EST.INI.I</t>
        </is>
      </c>
      <c r="C329" s="5" t="inlineStr">
        <is>
          <t>EST</t>
        </is>
      </c>
      <c r="D329" s="5" t="n">
        <v>3</v>
      </c>
      <c r="E329" s="5" t="inlineStr">
        <is>
          <t>Inicial</t>
        </is>
      </c>
      <c r="F329" s="5" t="inlineStr">
        <is>
          <t>I</t>
        </is>
      </c>
      <c r="G329" s="5" t="inlineStr">
        <is>
          <t>Normas publicadas e disponíveis de maneira sistematizada para consulta pública na internet;</t>
        </is>
      </c>
      <c r="H329" s="6" t="n"/>
      <c r="I329" s="6" t="n"/>
      <c r="J329" s="6" t="n"/>
      <c r="K329" s="6" t="inlineStr">
        <is>
          <t>pendente</t>
        </is>
      </c>
      <c r="L329" s="6" t="n"/>
      <c r="M329" s="5">
        <f>IF(H329="SIM",1,0)</f>
        <v/>
      </c>
      <c r="N329" s="5">
        <f>IF(AND(H329="SIM",K329="validado",I329&lt;&gt;""),1,0)</f>
        <v/>
      </c>
    </row>
    <row r="330">
      <c r="A330" s="5" t="inlineStr">
        <is>
          <t>ANAC</t>
        </is>
      </c>
      <c r="B330" s="5" t="inlineStr">
        <is>
          <t>EST.MC.II</t>
        </is>
      </c>
      <c r="C330" s="5" t="inlineStr">
        <is>
          <t>EST</t>
        </is>
      </c>
      <c r="D330" s="5" t="n">
        <v>3</v>
      </c>
      <c r="E330" s="5" t="inlineStr">
        <is>
          <t>Melhoria Contínua</t>
        </is>
      </c>
      <c r="F330" s="5" t="inlineStr">
        <is>
          <t>II</t>
        </is>
      </c>
      <c r="G330" s="5" t="inlineStr">
        <is>
          <t>Todas as novas normas passam pela análise de consolidação e compatibilização de normas vigentes.</t>
        </is>
      </c>
      <c r="H330" s="6" t="n"/>
      <c r="I330" s="6" t="n"/>
      <c r="J330" s="6" t="n"/>
      <c r="K330" s="6" t="inlineStr">
        <is>
          <t>pendente</t>
        </is>
      </c>
      <c r="L330" s="6" t="n"/>
      <c r="M330" s="5">
        <f>IF(H330="SIM",1,0)</f>
        <v/>
      </c>
      <c r="N330" s="5">
        <f>IF(AND(H330="SIM",K330="validado",I330&lt;&gt;""),1,0)</f>
        <v/>
      </c>
    </row>
    <row r="331">
      <c r="A331" s="5" t="inlineStr">
        <is>
          <t>ANAC</t>
        </is>
      </c>
      <c r="B331" s="5" t="inlineStr">
        <is>
          <t>EST.GER.II</t>
        </is>
      </c>
      <c r="C331" s="5" t="inlineStr">
        <is>
          <t>EST</t>
        </is>
      </c>
      <c r="D331" s="5" t="n">
        <v>3</v>
      </c>
      <c r="E331" s="5" t="inlineStr">
        <is>
          <t>Gerenciado</t>
        </is>
      </c>
      <c r="F331" s="5" t="inlineStr">
        <is>
          <t>II</t>
        </is>
      </c>
      <c r="G331" s="5" t="inlineStr">
        <is>
          <t>Foi realizado levantamento quantitativo de todas as normas do órgão, bem como análise qualitativa, indexação e classificação por tema;</t>
        </is>
      </c>
      <c r="H331" s="6" t="n"/>
      <c r="I331" s="6" t="n"/>
      <c r="J331" s="6" t="n"/>
      <c r="K331" s="6" t="inlineStr">
        <is>
          <t>pendente</t>
        </is>
      </c>
      <c r="L331" s="6" t="n"/>
      <c r="M331" s="5">
        <f>IF(H331="SIM",1,0)</f>
        <v/>
      </c>
      <c r="N331" s="5">
        <f>IF(AND(H331="SIM",K331="validado",I331&lt;&gt;""),1,0)</f>
        <v/>
      </c>
    </row>
    <row r="332">
      <c r="A332" s="5" t="inlineStr">
        <is>
          <t>ANAC</t>
        </is>
      </c>
      <c r="B332" s="5" t="inlineStr">
        <is>
          <t>EST.INI.II</t>
        </is>
      </c>
      <c r="C332" s="5" t="inlineStr">
        <is>
          <t>EST</t>
        </is>
      </c>
      <c r="D332" s="5" t="n">
        <v>3</v>
      </c>
      <c r="E332" s="5" t="inlineStr">
        <is>
          <t>Inicial</t>
        </is>
      </c>
      <c r="F332" s="5" t="inlineStr">
        <is>
          <t>II</t>
        </is>
      </c>
      <c r="G332" s="5" t="inlineStr">
        <is>
          <t>Foi realizado levantamento quantitativo de todas as normas do órgão.</t>
        </is>
      </c>
      <c r="H332" s="6" t="n"/>
      <c r="I332" s="6" t="n"/>
      <c r="J332" s="6" t="n"/>
      <c r="K332" s="6" t="inlineStr">
        <is>
          <t>pendente</t>
        </is>
      </c>
      <c r="L332" s="6" t="n"/>
      <c r="M332" s="5">
        <f>IF(H332="SIM",1,0)</f>
        <v/>
      </c>
      <c r="N332" s="5">
        <f>IF(AND(H332="SIM",K332="validado",I332&lt;&gt;""),1,0)</f>
        <v/>
      </c>
    </row>
    <row r="333">
      <c r="A333" s="5" t="inlineStr">
        <is>
          <t>ANAC</t>
        </is>
      </c>
      <c r="B333" s="5" t="inlineStr">
        <is>
          <t>EST.GER.III</t>
        </is>
      </c>
      <c r="C333" s="5" t="inlineStr">
        <is>
          <t>EST</t>
        </is>
      </c>
      <c r="D333" s="5" t="n">
        <v>3</v>
      </c>
      <c r="E333" s="5" t="inlineStr">
        <is>
          <t>Gerenciado</t>
        </is>
      </c>
      <c r="F333" s="5" t="inlineStr">
        <is>
          <t>III</t>
        </is>
      </c>
      <c r="G333" s="5" t="inlineStr">
        <is>
          <t>Para toda a nova norma de alto impacto/alta complexidade foi estimado o fardo regulatório; e</t>
        </is>
      </c>
      <c r="H333" s="6" t="n"/>
      <c r="I333" s="6" t="n"/>
      <c r="J333" s="6" t="n"/>
      <c r="K333" s="6" t="inlineStr">
        <is>
          <t>pendente</t>
        </is>
      </c>
      <c r="L333" s="6" t="n"/>
      <c r="M333" s="5">
        <f>IF(H333="SIM",1,0)</f>
        <v/>
      </c>
      <c r="N333" s="5">
        <f>IF(AND(H333="SIM",K333="validado",I333&lt;&gt;""),1,0)</f>
        <v/>
      </c>
    </row>
    <row r="334">
      <c r="A334" s="5" t="inlineStr">
        <is>
          <t>ANAC</t>
        </is>
      </c>
      <c r="B334" s="5" t="inlineStr">
        <is>
          <t>EST.GER.IV</t>
        </is>
      </c>
      <c r="C334" s="5" t="inlineStr">
        <is>
          <t>EST</t>
        </is>
      </c>
      <c r="D334" s="5" t="n">
        <v>3</v>
      </c>
      <c r="E334" s="5" t="inlineStr">
        <is>
          <t>Gerenciado</t>
        </is>
      </c>
      <c r="F334" s="5" t="inlineStr">
        <is>
          <t>IV</t>
        </is>
      </c>
      <c r="G334" s="5" t="inlineStr">
        <is>
          <t>Existe manutenção da consolidação normativa, conforme art. 19 do Decreto nº 10.139, de 28 de novembro de 2019.</t>
        </is>
      </c>
      <c r="H334" s="6" t="n"/>
      <c r="I334" s="6" t="n"/>
      <c r="J334" s="6" t="n"/>
      <c r="K334" s="6" t="inlineStr">
        <is>
          <t>pendente</t>
        </is>
      </c>
      <c r="L334" s="6" t="n"/>
      <c r="M334" s="5">
        <f>IF(H334="SIM",1,0)</f>
        <v/>
      </c>
      <c r="N334" s="5">
        <f>IF(AND(H334="SIM",K334="validado",I334&lt;&gt;""),1,0)</f>
        <v/>
      </c>
    </row>
    <row r="335">
      <c r="A335" s="5" t="inlineStr">
        <is>
          <t>ANAC</t>
        </is>
      </c>
      <c r="B335" s="5" t="inlineStr">
        <is>
          <t>AGE.MC.I</t>
        </is>
      </c>
      <c r="C335" s="5" t="inlineStr">
        <is>
          <t>AGE</t>
        </is>
      </c>
      <c r="D335" s="5" t="n">
        <v>4</v>
      </c>
      <c r="E335" s="5" t="inlineStr">
        <is>
          <t>Melhoria Contínua</t>
        </is>
      </c>
      <c r="F335" s="5" t="inlineStr">
        <is>
          <t>I</t>
        </is>
      </c>
      <c r="G335" s="5" t="inlineStr">
        <is>
          <t>A elaboração da agenda regulatória tem ampla participação social, a qual é analisada, respondida e divulgada;</t>
        </is>
      </c>
      <c r="H335" s="6" t="n"/>
      <c r="I335" s="6" t="n"/>
      <c r="J335" s="6" t="n"/>
      <c r="K335" s="6" t="inlineStr">
        <is>
          <t>pendente</t>
        </is>
      </c>
      <c r="L335" s="6" t="n"/>
      <c r="M335" s="5">
        <f>IF(H335="SIM",1,0)</f>
        <v/>
      </c>
      <c r="N335" s="5">
        <f>IF(AND(H335="SIM",K335="validado",I335&lt;&gt;""),1,0)</f>
        <v/>
      </c>
    </row>
    <row r="336">
      <c r="A336" s="5" t="inlineStr">
        <is>
          <t>ANAC</t>
        </is>
      </c>
      <c r="B336" s="5" t="inlineStr">
        <is>
          <t>AGE.GER.I</t>
        </is>
      </c>
      <c r="C336" s="5" t="inlineStr">
        <is>
          <t>AGE</t>
        </is>
      </c>
      <c r="D336" s="5" t="n">
        <v>4</v>
      </c>
      <c r="E336" s="5" t="inlineStr">
        <is>
          <t>Gerenciado</t>
        </is>
      </c>
      <c r="F336" s="5" t="inlineStr">
        <is>
          <t>I</t>
        </is>
      </c>
      <c r="G336" s="5" t="inlineStr">
        <is>
          <t>A elaboração da agenda regulatória tem ampla participação social, a qual é analisada, porém não respondida e divulgada;</t>
        </is>
      </c>
      <c r="H336" s="6" t="n"/>
      <c r="I336" s="6" t="n"/>
      <c r="J336" s="6" t="n"/>
      <c r="K336" s="6" t="inlineStr">
        <is>
          <t>pendente</t>
        </is>
      </c>
      <c r="L336" s="6" t="n"/>
      <c r="M336" s="5">
        <f>IF(H336="SIM",1,0)</f>
        <v/>
      </c>
      <c r="N336" s="5">
        <f>IF(AND(H336="SIM",K336="validado",I336&lt;&gt;""),1,0)</f>
        <v/>
      </c>
    </row>
    <row r="337">
      <c r="A337" s="5" t="inlineStr">
        <is>
          <t>ANAC</t>
        </is>
      </c>
      <c r="B337" s="5" t="inlineStr">
        <is>
          <t>AGE.INI.I</t>
        </is>
      </c>
      <c r="C337" s="5" t="inlineStr">
        <is>
          <t>AGE</t>
        </is>
      </c>
      <c r="D337" s="5" t="n">
        <v>4</v>
      </c>
      <c r="E337" s="5" t="inlineStr">
        <is>
          <t>Inicial</t>
        </is>
      </c>
      <c r="F337" s="5" t="inlineStr">
        <is>
          <t>I</t>
        </is>
      </c>
      <c r="G337" s="5" t="inlineStr">
        <is>
          <t>Os temas da agenda regulatória são elencados e priorizados pelos gestores da agência;</t>
        </is>
      </c>
      <c r="H337" s="6" t="n"/>
      <c r="I337" s="6" t="n"/>
      <c r="J337" s="6" t="n"/>
      <c r="K337" s="6" t="inlineStr">
        <is>
          <t>pendente</t>
        </is>
      </c>
      <c r="L337" s="6" t="n"/>
      <c r="M337" s="5">
        <f>IF(H337="SIM",1,0)</f>
        <v/>
      </c>
      <c r="N337" s="5">
        <f>IF(AND(H337="SIM",K337="validado",I337&lt;&gt;""),1,0)</f>
        <v/>
      </c>
    </row>
    <row r="338">
      <c r="A338" s="5" t="inlineStr">
        <is>
          <t>ANAC</t>
        </is>
      </c>
      <c r="B338" s="5" t="inlineStr">
        <is>
          <t>AGE.MC.II</t>
        </is>
      </c>
      <c r="C338" s="5" t="inlineStr">
        <is>
          <t>AGE</t>
        </is>
      </c>
      <c r="D338" s="5" t="n">
        <v>4</v>
      </c>
      <c r="E338" s="5" t="inlineStr">
        <is>
          <t>Melhoria Contínua</t>
        </is>
      </c>
      <c r="F338" s="5" t="inlineStr">
        <is>
          <t>II</t>
        </is>
      </c>
      <c r="G338" s="5" t="inlineStr">
        <is>
          <t>Os projetos da Agenda Regulatória estão aderentes ao planejamento estratégico vigente e estão correlacionados ao Plano de Gestão Anual;</t>
        </is>
      </c>
      <c r="H338" s="6" t="n"/>
      <c r="I338" s="6" t="n"/>
      <c r="J338" s="6" t="n"/>
      <c r="K338" s="6" t="inlineStr">
        <is>
          <t>pendente</t>
        </is>
      </c>
      <c r="L338" s="6" t="n"/>
      <c r="M338" s="5">
        <f>IF(H338="SIM",1,0)</f>
        <v/>
      </c>
      <c r="N338" s="5">
        <f>IF(AND(H338="SIM",K338="validado",I338&lt;&gt;""),1,0)</f>
        <v/>
      </c>
    </row>
    <row r="339">
      <c r="A339" s="5" t="inlineStr">
        <is>
          <t>ANAC</t>
        </is>
      </c>
      <c r="B339" s="5" t="inlineStr">
        <is>
          <t>AGE.GER.II</t>
        </is>
      </c>
      <c r="C339" s="5" t="inlineStr">
        <is>
          <t>AGE</t>
        </is>
      </c>
      <c r="D339" s="5" t="n">
        <v>4</v>
      </c>
      <c r="E339" s="5" t="inlineStr">
        <is>
          <t>Gerenciado</t>
        </is>
      </c>
      <c r="F339" s="5" t="inlineStr">
        <is>
          <t>II</t>
        </is>
      </c>
      <c r="G339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339" s="6" t="n"/>
      <c r="I339" s="6" t="n"/>
      <c r="J339" s="6" t="n"/>
      <c r="K339" s="6" t="inlineStr">
        <is>
          <t>pendente</t>
        </is>
      </c>
      <c r="L339" s="6" t="n"/>
      <c r="M339" s="5">
        <f>IF(H339="SIM",1,0)</f>
        <v/>
      </c>
      <c r="N339" s="5">
        <f>IF(AND(H339="SIM",K339="validado",I339&lt;&gt;""),1,0)</f>
        <v/>
      </c>
    </row>
    <row r="340">
      <c r="A340" s="5" t="inlineStr">
        <is>
          <t>ANAC</t>
        </is>
      </c>
      <c r="B340" s="5" t="inlineStr">
        <is>
          <t>AGE.INI.II</t>
        </is>
      </c>
      <c r="C340" s="5" t="inlineStr">
        <is>
          <t>AGE</t>
        </is>
      </c>
      <c r="D340" s="5" t="n">
        <v>4</v>
      </c>
      <c r="E340" s="5" t="inlineStr">
        <is>
          <t>Inicial</t>
        </is>
      </c>
      <c r="F340" s="5" t="inlineStr">
        <is>
          <t>II</t>
        </is>
      </c>
      <c r="G340" s="5" t="inlineStr">
        <is>
          <t>É avaliada a aderência da proposta de Agenda às políticas públicas.</t>
        </is>
      </c>
      <c r="H340" s="6" t="n"/>
      <c r="I340" s="6" t="n"/>
      <c r="J340" s="6" t="n"/>
      <c r="K340" s="6" t="inlineStr">
        <is>
          <t>pendente</t>
        </is>
      </c>
      <c r="L340" s="6" t="n"/>
      <c r="M340" s="5">
        <f>IF(H340="SIM",1,0)</f>
        <v/>
      </c>
      <c r="N340" s="5">
        <f>IF(AND(H340="SIM",K340="validado",I340&lt;&gt;""),1,0)</f>
        <v/>
      </c>
    </row>
    <row r="341">
      <c r="A341" s="5" t="inlineStr">
        <is>
          <t>ANAC</t>
        </is>
      </c>
      <c r="B341" s="5" t="inlineStr">
        <is>
          <t>AGE.MC.III</t>
        </is>
      </c>
      <c r="C341" s="5" t="inlineStr">
        <is>
          <t>AGE</t>
        </is>
      </c>
      <c r="D341" s="5" t="n">
        <v>4</v>
      </c>
      <c r="E341" s="5" t="inlineStr">
        <is>
          <t>Melhoria Contínua</t>
        </is>
      </c>
      <c r="F341" s="5" t="inlineStr">
        <is>
          <t>III</t>
        </is>
      </c>
      <c r="G341" s="5" t="inlineStr">
        <is>
          <t>Cumprimento de, no mínimo, 80% da Agenda Regulatória;</t>
        </is>
      </c>
      <c r="H341" s="6" t="n"/>
      <c r="I341" s="6" t="n"/>
      <c r="J341" s="6" t="n"/>
      <c r="K341" s="6" t="inlineStr">
        <is>
          <t>pendente</t>
        </is>
      </c>
      <c r="L341" s="6" t="n"/>
      <c r="M341" s="5">
        <f>IF(H341="SIM",1,0)</f>
        <v/>
      </c>
      <c r="N341" s="5">
        <f>IF(AND(H341="SIM",K341="validado",I341&lt;&gt;""),1,0)</f>
        <v/>
      </c>
    </row>
    <row r="342">
      <c r="A342" s="5" t="inlineStr">
        <is>
          <t>ANAC</t>
        </is>
      </c>
      <c r="B342" s="5" t="inlineStr">
        <is>
          <t>AGE.GER.III</t>
        </is>
      </c>
      <c r="C342" s="5" t="inlineStr">
        <is>
          <t>AGE</t>
        </is>
      </c>
      <c r="D342" s="5" t="n">
        <v>4</v>
      </c>
      <c r="E342" s="5" t="inlineStr">
        <is>
          <t>Gerenciado</t>
        </is>
      </c>
      <c r="F342" s="5" t="inlineStr">
        <is>
          <t>III</t>
        </is>
      </c>
      <c r="G342" s="5" t="inlineStr">
        <is>
          <t>Cumprimento de 50% a 79% da Agenda Regulatória;</t>
        </is>
      </c>
      <c r="H342" s="6" t="n"/>
      <c r="I342" s="6" t="n"/>
      <c r="J342" s="6" t="n"/>
      <c r="K342" s="6" t="inlineStr">
        <is>
          <t>pendente</t>
        </is>
      </c>
      <c r="L342" s="6" t="n"/>
      <c r="M342" s="5">
        <f>IF(H342="SIM",1,0)</f>
        <v/>
      </c>
      <c r="N342" s="5">
        <f>IF(AND(H342="SIM",K342="validado",I342&lt;&gt;""),1,0)</f>
        <v/>
      </c>
    </row>
    <row r="343">
      <c r="A343" s="5" t="inlineStr">
        <is>
          <t>ANAC</t>
        </is>
      </c>
      <c r="B343" s="5" t="inlineStr">
        <is>
          <t>AGE.MC.IV</t>
        </is>
      </c>
      <c r="C343" s="5" t="inlineStr">
        <is>
          <t>AGE</t>
        </is>
      </c>
      <c r="D343" s="5" t="n">
        <v>4</v>
      </c>
      <c r="E343" s="5" t="inlineStr">
        <is>
          <t>Melhoria Contínua</t>
        </is>
      </c>
      <c r="F343" s="5" t="inlineStr">
        <is>
          <t>IV</t>
        </is>
      </c>
      <c r="G343" s="5" t="inlineStr">
        <is>
          <t>A execução da Agenda Regulatória é periodicamente monitorada e divulgada.</t>
        </is>
      </c>
      <c r="H343" s="6" t="n"/>
      <c r="I343" s="6" t="n"/>
      <c r="J343" s="6" t="n"/>
      <c r="K343" s="6" t="inlineStr">
        <is>
          <t>pendente</t>
        </is>
      </c>
      <c r="L343" s="6" t="n"/>
      <c r="M343" s="5">
        <f>IF(H343="SIM",1,0)</f>
        <v/>
      </c>
      <c r="N343" s="5">
        <f>IF(AND(H343="SIM",K343="validado",I343&lt;&gt;""),1,0)</f>
        <v/>
      </c>
    </row>
    <row r="344">
      <c r="A344" s="5" t="inlineStr">
        <is>
          <t>ANAC</t>
        </is>
      </c>
      <c r="B344" s="5" t="inlineStr">
        <is>
          <t>AGE.GER.IV</t>
        </is>
      </c>
      <c r="C344" s="5" t="inlineStr">
        <is>
          <t>AGE</t>
        </is>
      </c>
      <c r="D344" s="5" t="n">
        <v>4</v>
      </c>
      <c r="E344" s="5" t="inlineStr">
        <is>
          <t>Gerenciado</t>
        </is>
      </c>
      <c r="F344" s="5" t="inlineStr">
        <is>
          <t>IV</t>
        </is>
      </c>
      <c r="G344" s="5" t="inlineStr">
        <is>
          <t>A execução da Agenda Regulatória é periodicamente monitorada.</t>
        </is>
      </c>
      <c r="H344" s="6" t="n"/>
      <c r="I344" s="6" t="n"/>
      <c r="J344" s="6" t="n"/>
      <c r="K344" s="6" t="inlineStr">
        <is>
          <t>pendente</t>
        </is>
      </c>
      <c r="L344" s="6" t="n"/>
      <c r="M344" s="5">
        <f>IF(H344="SIM",1,0)</f>
        <v/>
      </c>
      <c r="N344" s="5">
        <f>IF(AND(H344="SIM",K344="validado",I344&lt;&gt;""),1,0)</f>
        <v/>
      </c>
    </row>
    <row r="345">
      <c r="A345" s="5" t="inlineStr">
        <is>
          <t>ANAC</t>
        </is>
      </c>
      <c r="B345" s="5" t="inlineStr">
        <is>
          <t>PRO.MC.I</t>
        </is>
      </c>
      <c r="C345" s="5" t="inlineStr">
        <is>
          <t>PRO</t>
        </is>
      </c>
      <c r="D345" s="5" t="n">
        <v>5</v>
      </c>
      <c r="E345" s="5" t="inlineStr">
        <is>
          <t>Melhoria Contínua</t>
        </is>
      </c>
      <c r="F345" s="5" t="inlineStr">
        <is>
          <t>I</t>
        </is>
      </c>
      <c r="G345" s="5" t="inlineStr">
        <is>
          <t>Indicadores de processo normativo estabelecidos e monitorados;</t>
        </is>
      </c>
      <c r="H345" s="6" t="n"/>
      <c r="I345" s="6" t="n"/>
      <c r="J345" s="6" t="n"/>
      <c r="K345" s="6" t="inlineStr">
        <is>
          <t>pendente</t>
        </is>
      </c>
      <c r="L345" s="6" t="n"/>
      <c r="M345" s="5">
        <f>IF(H345="SIM",1,0)</f>
        <v/>
      </c>
      <c r="N345" s="5">
        <f>IF(AND(H345="SIM",K345="validado",I345&lt;&gt;""),1,0)</f>
        <v/>
      </c>
    </row>
    <row r="346">
      <c r="A346" s="5" t="inlineStr">
        <is>
          <t>ANAC</t>
        </is>
      </c>
      <c r="B346" s="5" t="inlineStr">
        <is>
          <t>PRO.GER.I</t>
        </is>
      </c>
      <c r="C346" s="5" t="inlineStr">
        <is>
          <t>PRO</t>
        </is>
      </c>
      <c r="D346" s="5" t="n">
        <v>5</v>
      </c>
      <c r="E346" s="5" t="inlineStr">
        <is>
          <t>Gerenciado</t>
        </is>
      </c>
      <c r="F346" s="5" t="inlineStr">
        <is>
          <t>I</t>
        </is>
      </c>
      <c r="G346" s="5" t="inlineStr">
        <is>
          <t>as intervenções de participação social estão claramente inseridas no processo.</t>
        </is>
      </c>
      <c r="H346" s="6" t="n"/>
      <c r="I346" s="6" t="n"/>
      <c r="J346" s="6" t="n"/>
      <c r="K346" s="6" t="inlineStr">
        <is>
          <t>pendente</t>
        </is>
      </c>
      <c r="L346" s="6" t="n"/>
      <c r="M346" s="5">
        <f>IF(H346="SIM",1,0)</f>
        <v/>
      </c>
      <c r="N346" s="5">
        <f>IF(AND(H346="SIM",K346="validado",I346&lt;&gt;""),1,0)</f>
        <v/>
      </c>
    </row>
    <row r="347">
      <c r="A347" s="5" t="inlineStr">
        <is>
          <t>ANAC</t>
        </is>
      </c>
      <c r="B347" s="5" t="inlineStr">
        <is>
          <t>PRO.INI.I</t>
        </is>
      </c>
      <c r="C347" s="5" t="inlineStr">
        <is>
          <t>PRO</t>
        </is>
      </c>
      <c r="D347" s="5" t="n">
        <v>5</v>
      </c>
      <c r="E347" s="5" t="inlineStr">
        <is>
          <t>Inicial</t>
        </is>
      </c>
      <c r="F347" s="5" t="inlineStr">
        <is>
          <t>I</t>
        </is>
      </c>
      <c r="G347" s="5" t="inlineStr">
        <is>
          <t>O fluxo do processo normativo é formalizado de forma bem definida e clara;</t>
        </is>
      </c>
      <c r="H347" s="6" t="n"/>
      <c r="I347" s="6" t="n"/>
      <c r="J347" s="6" t="n"/>
      <c r="K347" s="6" t="inlineStr">
        <is>
          <t>pendente</t>
        </is>
      </c>
      <c r="L347" s="6" t="n"/>
      <c r="M347" s="5">
        <f>IF(H347="SIM",1,0)</f>
        <v/>
      </c>
      <c r="N347" s="5">
        <f>IF(AND(H347="SIM",K347="validado",I347&lt;&gt;""),1,0)</f>
        <v/>
      </c>
    </row>
    <row r="348">
      <c r="A348" s="5" t="inlineStr">
        <is>
          <t>ANAC</t>
        </is>
      </c>
      <c r="B348" s="5" t="inlineStr">
        <is>
          <t>PRO.MC.II</t>
        </is>
      </c>
      <c r="C348" s="5" t="inlineStr">
        <is>
          <t>PRO</t>
        </is>
      </c>
      <c r="D348" s="5" t="n">
        <v>5</v>
      </c>
      <c r="E348" s="5" t="inlineStr">
        <is>
          <t>Melhoria Contínua</t>
        </is>
      </c>
      <c r="F348" s="5" t="inlineStr">
        <is>
          <t>II</t>
        </is>
      </c>
      <c r="G348" s="5" t="inlineStr">
        <is>
          <t>Há processo contínuo de avaliação e melhoria do processo normativo, utilizando o resultado dos indicadores.</t>
        </is>
      </c>
      <c r="H348" s="6" t="n"/>
      <c r="I348" s="6" t="n"/>
      <c r="J348" s="6" t="n"/>
      <c r="K348" s="6" t="inlineStr">
        <is>
          <t>pendente</t>
        </is>
      </c>
      <c r="L348" s="6" t="n"/>
      <c r="M348" s="5">
        <f>IF(H348="SIM",1,0)</f>
        <v/>
      </c>
      <c r="N348" s="5">
        <f>IF(AND(H348="SIM",K348="validado",I348&lt;&gt;""),1,0)</f>
        <v/>
      </c>
    </row>
    <row r="349">
      <c r="A349" s="5" t="inlineStr">
        <is>
          <t>ANAC</t>
        </is>
      </c>
      <c r="B349" s="5" t="inlineStr">
        <is>
          <t>PRO.INI.II</t>
        </is>
      </c>
      <c r="C349" s="5" t="inlineStr">
        <is>
          <t>PRO</t>
        </is>
      </c>
      <c r="D349" s="5" t="n">
        <v>5</v>
      </c>
      <c r="E349" s="5" t="inlineStr">
        <is>
          <t>Inicial</t>
        </is>
      </c>
      <c r="F349" s="5" t="inlineStr">
        <is>
          <t>II</t>
        </is>
      </c>
      <c r="G349" s="5" t="inlineStr">
        <is>
          <t>As instâncias de aprovação estabelecidas são claras e formalizadas.</t>
        </is>
      </c>
      <c r="H349" s="6" t="n"/>
      <c r="I349" s="6" t="n"/>
      <c r="J349" s="6" t="n"/>
      <c r="K349" s="6" t="inlineStr">
        <is>
          <t>pendente</t>
        </is>
      </c>
      <c r="L349" s="6" t="n"/>
      <c r="M349" s="5">
        <f>IF(H349="SIM",1,0)</f>
        <v/>
      </c>
      <c r="N349" s="5">
        <f>IF(AND(H349="SIM",K349="validado",I349&lt;&gt;""),1,0)</f>
        <v/>
      </c>
    </row>
    <row r="350">
      <c r="A350" s="5" t="inlineStr">
        <is>
          <t>ANAC</t>
        </is>
      </c>
      <c r="B350" s="5" t="inlineStr">
        <is>
          <t>ARR_CAP.MC.I</t>
        </is>
      </c>
      <c r="C350" s="5" t="inlineStr">
        <is>
          <t>ARR_CAP</t>
        </is>
      </c>
      <c r="D350" s="5" t="n">
        <v>6</v>
      </c>
      <c r="E350" s="5" t="inlineStr">
        <is>
          <t>Melhoria Contínua</t>
        </is>
      </c>
      <c r="F350" s="5" t="inlineStr">
        <is>
          <t>I</t>
        </is>
      </c>
      <c r="G350" s="5" t="inlineStr">
        <is>
          <t>Plano de capacitação formalizado e em execução, incluindo permanente reciclagem em ARR;</t>
        </is>
      </c>
      <c r="H350" s="6" t="n"/>
      <c r="I350" s="6" t="n"/>
      <c r="J350" s="6" t="n"/>
      <c r="K350" s="6" t="inlineStr">
        <is>
          <t>pendente</t>
        </is>
      </c>
      <c r="L350" s="6" t="n"/>
      <c r="M350" s="5">
        <f>IF(H350="SIM",1,0)</f>
        <v/>
      </c>
      <c r="N350" s="5">
        <f>IF(AND(H350="SIM",K350="validado",I350&lt;&gt;""),1,0)</f>
        <v/>
      </c>
    </row>
    <row r="351">
      <c r="A351" s="5" t="inlineStr">
        <is>
          <t>ANAC</t>
        </is>
      </c>
      <c r="B351" s="5" t="inlineStr">
        <is>
          <t>ARR_CAP.GER.I</t>
        </is>
      </c>
      <c r="C351" s="5" t="inlineStr">
        <is>
          <t>ARR_CAP</t>
        </is>
      </c>
      <c r="D351" s="5" t="n">
        <v>6</v>
      </c>
      <c r="E351" s="5" t="inlineStr">
        <is>
          <t>Gerenciado</t>
        </is>
      </c>
      <c r="F351" s="5" t="inlineStr">
        <is>
          <t>I</t>
        </is>
      </c>
      <c r="G351" s="5" t="inlineStr">
        <is>
          <t>Capacitações institucionalizadas, sem um plano formalizado;</t>
        </is>
      </c>
      <c r="H351" s="6" t="n"/>
      <c r="I351" s="6" t="n"/>
      <c r="J351" s="6" t="n"/>
      <c r="K351" s="6" t="inlineStr">
        <is>
          <t>pendente</t>
        </is>
      </c>
      <c r="L351" s="6" t="n"/>
      <c r="M351" s="5">
        <f>IF(H351="SIM",1,0)</f>
        <v/>
      </c>
      <c r="N351" s="5">
        <f>IF(AND(H351="SIM",K351="validado",I351&lt;&gt;""),1,0)</f>
        <v/>
      </c>
    </row>
    <row r="352">
      <c r="A352" s="5" t="inlineStr">
        <is>
          <t>ANAC</t>
        </is>
      </c>
      <c r="B352" s="5" t="inlineStr">
        <is>
          <t>ARR_CAP.INI.I</t>
        </is>
      </c>
      <c r="C352" s="5" t="inlineStr">
        <is>
          <t>ARR_CAP</t>
        </is>
      </c>
      <c r="D352" s="5" t="n">
        <v>6</v>
      </c>
      <c r="E352" s="5" t="inlineStr">
        <is>
          <t>Inicial</t>
        </is>
      </c>
      <c r="F352" s="5" t="inlineStr">
        <is>
          <t>I</t>
        </is>
      </c>
      <c r="G352" s="5" t="inlineStr">
        <is>
          <t>Capacitações não estão institucionalizadas;</t>
        </is>
      </c>
      <c r="H352" s="6" t="n"/>
      <c r="I352" s="6" t="n"/>
      <c r="J352" s="6" t="n"/>
      <c r="K352" s="6" t="inlineStr">
        <is>
          <t>pendente</t>
        </is>
      </c>
      <c r="L352" s="6" t="n"/>
      <c r="M352" s="5">
        <f>IF(H352="SIM",1,0)</f>
        <v/>
      </c>
      <c r="N352" s="5">
        <f>IF(AND(H352="SIM",K352="validado",I352&lt;&gt;""),1,0)</f>
        <v/>
      </c>
    </row>
    <row r="353">
      <c r="A353" s="5" t="inlineStr">
        <is>
          <t>ANAC</t>
        </is>
      </c>
      <c r="B353" s="5" t="inlineStr">
        <is>
          <t>ARR_CAP.MC.II</t>
        </is>
      </c>
      <c r="C353" s="5" t="inlineStr">
        <is>
          <t>ARR_CAP</t>
        </is>
      </c>
      <c r="D353" s="5" t="n">
        <v>6</v>
      </c>
      <c r="E353" s="5" t="inlineStr">
        <is>
          <t>Melhoria Contínua</t>
        </is>
      </c>
      <c r="F353" s="5" t="inlineStr">
        <is>
          <t>II</t>
        </is>
      </c>
      <c r="G353" s="5" t="inlineStr">
        <is>
          <t>No mínimo, 75% dos servidores envolvidos em elaboração de regulação capacitados em ARR.</t>
        </is>
      </c>
      <c r="H353" s="6" t="n"/>
      <c r="I353" s="6" t="n"/>
      <c r="J353" s="6" t="n"/>
      <c r="K353" s="6" t="inlineStr">
        <is>
          <t>pendente</t>
        </is>
      </c>
      <c r="L353" s="6" t="n"/>
      <c r="M353" s="5">
        <f>IF(H353="SIM",1,0)</f>
        <v/>
      </c>
      <c r="N353" s="5">
        <f>IF(AND(H353="SIM",K353="validado",I353&lt;&gt;""),1,0)</f>
        <v/>
      </c>
    </row>
    <row r="354">
      <c r="A354" s="5" t="inlineStr">
        <is>
          <t>ANAC</t>
        </is>
      </c>
      <c r="B354" s="5" t="inlineStr">
        <is>
          <t>ARR_CAP.GER.II</t>
        </is>
      </c>
      <c r="C354" s="5" t="inlineStr">
        <is>
          <t>ARR_CAP</t>
        </is>
      </c>
      <c r="D354" s="5" t="n">
        <v>6</v>
      </c>
      <c r="E354" s="5" t="inlineStr">
        <is>
          <t>Gerenciado</t>
        </is>
      </c>
      <c r="F354" s="5" t="inlineStr">
        <is>
          <t>II</t>
        </is>
      </c>
      <c r="G354" s="5" t="inlineStr">
        <is>
          <t>de 50% a 74% dos servidores envolvidos em elaboração de regulação capacitados em ARR;</t>
        </is>
      </c>
      <c r="H354" s="6" t="n"/>
      <c r="I354" s="6" t="n"/>
      <c r="J354" s="6" t="n"/>
      <c r="K354" s="6" t="inlineStr">
        <is>
          <t>pendente</t>
        </is>
      </c>
      <c r="L354" s="6" t="n"/>
      <c r="M354" s="5">
        <f>IF(H354="SIM",1,0)</f>
        <v/>
      </c>
      <c r="N354" s="5">
        <f>IF(AND(H354="SIM",K354="validado",I354&lt;&gt;""),1,0)</f>
        <v/>
      </c>
    </row>
    <row r="355">
      <c r="A355" s="5" t="inlineStr">
        <is>
          <t>ANAC</t>
        </is>
      </c>
      <c r="B355" s="5" t="inlineStr">
        <is>
          <t>ARR_CAP.INI.II</t>
        </is>
      </c>
      <c r="C355" s="5" t="inlineStr">
        <is>
          <t>ARR_CAP</t>
        </is>
      </c>
      <c r="D355" s="5" t="n">
        <v>6</v>
      </c>
      <c r="E355" s="5" t="inlineStr">
        <is>
          <t>Inicial</t>
        </is>
      </c>
      <c r="F355" s="5" t="inlineStr">
        <is>
          <t>II</t>
        </is>
      </c>
      <c r="G355" s="5" t="inlineStr">
        <is>
          <t>de 25% a 49% dos servidores envolvidos em elaboração de regulação capacitados em ARR.</t>
        </is>
      </c>
      <c r="H355" s="6" t="n"/>
      <c r="I355" s="6" t="n"/>
      <c r="J355" s="6" t="n"/>
      <c r="K355" s="6" t="inlineStr">
        <is>
          <t>pendente</t>
        </is>
      </c>
      <c r="L355" s="6" t="n"/>
      <c r="M355" s="5">
        <f>IF(H355="SIM",1,0)</f>
        <v/>
      </c>
      <c r="N355" s="5">
        <f>IF(AND(H355="SIM",K355="validado",I355&lt;&gt;""),1,0)</f>
        <v/>
      </c>
    </row>
    <row r="356">
      <c r="A356" s="5" t="inlineStr">
        <is>
          <t>ANAC</t>
        </is>
      </c>
      <c r="B356" s="5" t="inlineStr">
        <is>
          <t>ARR_MET.MC.I</t>
        </is>
      </c>
      <c r="C356" s="5" t="inlineStr">
        <is>
          <t>ARR_MET</t>
        </is>
      </c>
      <c r="D356" s="5" t="n">
        <v>6</v>
      </c>
      <c r="E356" s="5" t="inlineStr">
        <is>
          <t>Melhoria Contínua</t>
        </is>
      </c>
      <c r="F356" s="5" t="inlineStr">
        <is>
          <t>I</t>
        </is>
      </c>
      <c r="G356" s="5" t="inlineStr">
        <is>
          <t>Metodologia de elaboração de ARR contempla a participação social, conforme complexidade do ato;</t>
        </is>
      </c>
      <c r="H356" s="6" t="n"/>
      <c r="I356" s="6" t="n"/>
      <c r="J356" s="6" t="n"/>
      <c r="K356" s="6" t="inlineStr">
        <is>
          <t>pendente</t>
        </is>
      </c>
      <c r="L356" s="6" t="n"/>
      <c r="M356" s="5">
        <f>IF(H356="SIM",1,0)</f>
        <v/>
      </c>
      <c r="N356" s="5">
        <f>IF(AND(H356="SIM",K356="validado",I356&lt;&gt;""),1,0)</f>
        <v/>
      </c>
    </row>
    <row r="357">
      <c r="A357" s="5" t="inlineStr">
        <is>
          <t>ANAC</t>
        </is>
      </c>
      <c r="B357" s="5" t="inlineStr">
        <is>
          <t>ARR_MET.GER.I</t>
        </is>
      </c>
      <c r="C357" s="5" t="inlineStr">
        <is>
          <t>ARR_MET</t>
        </is>
      </c>
      <c r="D357" s="5" t="n">
        <v>6</v>
      </c>
      <c r="E357" s="5" t="inlineStr">
        <is>
          <t>Gerenciado</t>
        </is>
      </c>
      <c r="F357" s="5" t="inlineStr">
        <is>
          <t>I</t>
        </is>
      </c>
      <c r="G357" s="5" t="inlineStr">
        <is>
          <t>Existência de manual ou ato normativo instituindo a aplicabilidade de ARR no órgão;</t>
        </is>
      </c>
      <c r="H357" s="6" t="n"/>
      <c r="I357" s="6" t="n"/>
      <c r="J357" s="6" t="n"/>
      <c r="K357" s="6" t="inlineStr">
        <is>
          <t>pendente</t>
        </is>
      </c>
      <c r="L357" s="6" t="n"/>
      <c r="M357" s="5">
        <f>IF(H357="SIM",1,0)</f>
        <v/>
      </c>
      <c r="N357" s="5">
        <f>IF(AND(H357="SIM",K357="validado",I357&lt;&gt;""),1,0)</f>
        <v/>
      </c>
    </row>
    <row r="358">
      <c r="A358" s="5" t="inlineStr">
        <is>
          <t>ANAC</t>
        </is>
      </c>
      <c r="B358" s="5" t="inlineStr">
        <is>
          <t>ARR_MET.INI.I</t>
        </is>
      </c>
      <c r="C358" s="5" t="inlineStr">
        <is>
          <t>ARR_MET</t>
        </is>
      </c>
      <c r="D358" s="5" t="n">
        <v>6</v>
      </c>
      <c r="E358" s="5" t="inlineStr">
        <is>
          <t>Inicial</t>
        </is>
      </c>
      <c r="F358" s="5" t="inlineStr">
        <is>
          <t>I</t>
        </is>
      </c>
      <c r="G358" s="5" t="inlineStr">
        <is>
          <t>existe Agenda de ARR, conforme determinado no Decreto nº 10.411, de 2020.</t>
        </is>
      </c>
      <c r="H358" s="6" t="n"/>
      <c r="I358" s="6" t="n"/>
      <c r="J358" s="6" t="n"/>
      <c r="K358" s="6" t="inlineStr">
        <is>
          <t>pendente</t>
        </is>
      </c>
      <c r="L358" s="6" t="n"/>
      <c r="M358" s="5">
        <f>IF(H358="SIM",1,0)</f>
        <v/>
      </c>
      <c r="N358" s="5">
        <f>IF(AND(H358="SIM",K358="validado",I358&lt;&gt;""),1,0)</f>
        <v/>
      </c>
    </row>
    <row r="359">
      <c r="A359" s="5" t="inlineStr">
        <is>
          <t>ANAC</t>
        </is>
      </c>
      <c r="B359" s="5" t="inlineStr">
        <is>
          <t>ARR_MET.MC.II</t>
        </is>
      </c>
      <c r="C359" s="5" t="inlineStr">
        <is>
          <t>ARR_MET</t>
        </is>
      </c>
      <c r="D359" s="5" t="n">
        <v>6</v>
      </c>
      <c r="E359" s="5" t="inlineStr">
        <is>
          <t>Melhoria Contínua</t>
        </is>
      </c>
      <c r="F359" s="5" t="inlineStr">
        <is>
          <t>II</t>
        </is>
      </c>
      <c r="G359" s="5" t="inlineStr">
        <is>
          <t>Existência de Agenda de ARR integrada com a Agenda Regulatória.</t>
        </is>
      </c>
      <c r="H359" s="6" t="n"/>
      <c r="I359" s="6" t="n"/>
      <c r="J359" s="6" t="n"/>
      <c r="K359" s="6" t="inlineStr">
        <is>
          <t>pendente</t>
        </is>
      </c>
      <c r="L359" s="6" t="n"/>
      <c r="M359" s="5">
        <f>IF(H359="SIM",1,0)</f>
        <v/>
      </c>
      <c r="N359" s="5">
        <f>IF(AND(H359="SIM",K359="validado",I359&lt;&gt;""),1,0)</f>
        <v/>
      </c>
    </row>
    <row r="360">
      <c r="A360" s="5" t="inlineStr">
        <is>
          <t>ANAC</t>
        </is>
      </c>
      <c r="B360" s="5" t="inlineStr">
        <is>
          <t>ARR_MET.GER.II</t>
        </is>
      </c>
      <c r="C360" s="5" t="inlineStr">
        <is>
          <t>ARR_MET</t>
        </is>
      </c>
      <c r="D360" s="5" t="n">
        <v>6</v>
      </c>
      <c r="E360" s="5" t="inlineStr">
        <is>
          <t>Gerenciado</t>
        </is>
      </c>
      <c r="F360" s="5" t="inlineStr">
        <is>
          <t>II</t>
        </is>
      </c>
      <c r="G360" s="5" t="inlineStr">
        <is>
          <t>Metodologia de elaboração da Agenda de ARR contempla participação social.</t>
        </is>
      </c>
      <c r="H360" s="6" t="n"/>
      <c r="I360" s="6" t="n"/>
      <c r="J360" s="6" t="n"/>
      <c r="K360" s="6" t="inlineStr">
        <is>
          <t>pendente</t>
        </is>
      </c>
      <c r="L360" s="6" t="n"/>
      <c r="M360" s="5">
        <f>IF(H360="SIM",1,0)</f>
        <v/>
      </c>
      <c r="N360" s="5">
        <f>IF(AND(H360="SIM",K360="validado",I360&lt;&gt;""),1,0)</f>
        <v/>
      </c>
    </row>
    <row r="361">
      <c r="A361" s="5" t="inlineStr">
        <is>
          <t>ANAC</t>
        </is>
      </c>
      <c r="B361" s="5" t="inlineStr">
        <is>
          <t>ARR_PRO.MC.I</t>
        </is>
      </c>
      <c r="C361" s="5" t="inlineStr">
        <is>
          <t>ARR_PRO</t>
        </is>
      </c>
      <c r="D361" s="5" t="n">
        <v>6</v>
      </c>
      <c r="E361" s="5" t="inlineStr">
        <is>
          <t>Melhoria Contínua</t>
        </is>
      </c>
      <c r="F361" s="5" t="inlineStr">
        <is>
          <t>I</t>
        </is>
      </c>
      <c r="G361" s="5" t="inlineStr">
        <is>
          <t>Há processo contínuo de avaliação e melhoria do processo de elaboração de ARR;</t>
        </is>
      </c>
      <c r="H361" s="6" t="n"/>
      <c r="I361" s="6" t="n"/>
      <c r="J361" s="6" t="n"/>
      <c r="K361" s="6" t="inlineStr">
        <is>
          <t>pendente</t>
        </is>
      </c>
      <c r="L361" s="6" t="n"/>
      <c r="M361" s="5">
        <f>IF(H361="SIM",1,0)</f>
        <v/>
      </c>
      <c r="N361" s="5">
        <f>IF(AND(H361="SIM",K361="validado",I361&lt;&gt;""),1,0)</f>
        <v/>
      </c>
    </row>
    <row r="362">
      <c r="A362" s="5" t="inlineStr">
        <is>
          <t>ANAC</t>
        </is>
      </c>
      <c r="B362" s="5" t="inlineStr">
        <is>
          <t>ARR_PRO.GER.I</t>
        </is>
      </c>
      <c r="C362" s="5" t="inlineStr">
        <is>
          <t>ARR_PRO</t>
        </is>
      </c>
      <c r="D362" s="5" t="n">
        <v>6</v>
      </c>
      <c r="E362" s="5" t="inlineStr">
        <is>
          <t>Gerenciado</t>
        </is>
      </c>
      <c r="F362" s="5" t="inlineStr">
        <is>
          <t>I</t>
        </is>
      </c>
      <c r="G362" s="5" t="inlineStr">
        <is>
          <t>ARR é realizada conforme manual ou ato normativo;</t>
        </is>
      </c>
      <c r="H362" s="6" t="n"/>
      <c r="I362" s="6" t="n"/>
      <c r="J362" s="6" t="n"/>
      <c r="K362" s="6" t="inlineStr">
        <is>
          <t>pendente</t>
        </is>
      </c>
      <c r="L362" s="6" t="n"/>
      <c r="M362" s="5">
        <f>IF(H362="SIM",1,0)</f>
        <v/>
      </c>
      <c r="N362" s="5">
        <f>IF(AND(H362="SIM",K362="validado",I362&lt;&gt;""),1,0)</f>
        <v/>
      </c>
    </row>
    <row r="363">
      <c r="A363" s="5" t="inlineStr">
        <is>
          <t>ANAC</t>
        </is>
      </c>
      <c r="B363" s="5" t="inlineStr">
        <is>
          <t>ARR_PRO.INI.I</t>
        </is>
      </c>
      <c r="C363" s="5" t="inlineStr">
        <is>
          <t>ARR_PRO</t>
        </is>
      </c>
      <c r="D363" s="5" t="n">
        <v>6</v>
      </c>
      <c r="E363" s="5" t="inlineStr">
        <is>
          <t>Inicial</t>
        </is>
      </c>
      <c r="F363" s="5" t="inlineStr">
        <is>
          <t>I</t>
        </is>
      </c>
      <c r="G363" s="5" t="inlineStr">
        <is>
          <t>Todas as ARRs são publicadas e acessíveis ao público na internet;</t>
        </is>
      </c>
      <c r="H363" s="6" t="n"/>
      <c r="I363" s="6" t="n"/>
      <c r="J363" s="6" t="n"/>
      <c r="K363" s="6" t="inlineStr">
        <is>
          <t>pendente</t>
        </is>
      </c>
      <c r="L363" s="6" t="n"/>
      <c r="M363" s="5">
        <f>IF(H363="SIM",1,0)</f>
        <v/>
      </c>
      <c r="N363" s="5">
        <f>IF(AND(H363="SIM",K363="validado",I363&lt;&gt;""),1,0)</f>
        <v/>
      </c>
    </row>
    <row r="364">
      <c r="A364" s="5" t="inlineStr">
        <is>
          <t>ANAC</t>
        </is>
      </c>
      <c r="B364" s="5" t="inlineStr">
        <is>
          <t>ARR_PRO.MC.II</t>
        </is>
      </c>
      <c r="C364" s="5" t="inlineStr">
        <is>
          <t>ARR_PRO</t>
        </is>
      </c>
      <c r="D364" s="5" t="n">
        <v>6</v>
      </c>
      <c r="E364" s="5" t="inlineStr">
        <is>
          <t>Melhoria Contínua</t>
        </is>
      </c>
      <c r="F364" s="5" t="inlineStr">
        <is>
          <t>II</t>
        </is>
      </c>
      <c r="G364" s="5" t="inlineStr">
        <is>
          <t>A execução da Agenda de ARR é periodicamente monitorada e divulgada.</t>
        </is>
      </c>
      <c r="H364" s="6" t="n"/>
      <c r="I364" s="6" t="n"/>
      <c r="J364" s="6" t="n"/>
      <c r="K364" s="6" t="inlineStr">
        <is>
          <t>pendente</t>
        </is>
      </c>
      <c r="L364" s="6" t="n"/>
      <c r="M364" s="5">
        <f>IF(H364="SIM",1,0)</f>
        <v/>
      </c>
      <c r="N364" s="5">
        <f>IF(AND(H364="SIM",K364="validado",I364&lt;&gt;""),1,0)</f>
        <v/>
      </c>
    </row>
    <row r="365">
      <c r="A365" s="5" t="inlineStr">
        <is>
          <t>ANAC</t>
        </is>
      </c>
      <c r="B365" s="5" t="inlineStr">
        <is>
          <t>ARR_PRO.GER.II</t>
        </is>
      </c>
      <c r="C365" s="5" t="inlineStr">
        <is>
          <t>ARR_PRO</t>
        </is>
      </c>
      <c r="D365" s="5" t="n">
        <v>6</v>
      </c>
      <c r="E365" s="5" t="inlineStr">
        <is>
          <t>Gerenciado</t>
        </is>
      </c>
      <c r="F365" s="5" t="inlineStr">
        <is>
          <t>II</t>
        </is>
      </c>
      <c r="G365" s="5" t="inlineStr">
        <is>
          <t>ARRs de alto impacto/alta complexidade foram submetidas à participação social.</t>
        </is>
      </c>
      <c r="H365" s="6" t="n"/>
      <c r="I365" s="6" t="n"/>
      <c r="J365" s="6" t="n"/>
      <c r="K365" s="6" t="inlineStr">
        <is>
          <t>pendente</t>
        </is>
      </c>
      <c r="L365" s="6" t="n"/>
      <c r="M365" s="5">
        <f>IF(H365="SIM",1,0)</f>
        <v/>
      </c>
      <c r="N365" s="5">
        <f>IF(AND(H365="SIM",K365="validado",I365&lt;&gt;""),1,0)</f>
        <v/>
      </c>
    </row>
    <row r="366">
      <c r="A366" s="5" t="inlineStr">
        <is>
          <t>ANAC</t>
        </is>
      </c>
      <c r="B366" s="5" t="inlineStr">
        <is>
          <t>ARR_PRO.INI.II</t>
        </is>
      </c>
      <c r="C366" s="5" t="inlineStr">
        <is>
          <t>ARR_PRO</t>
        </is>
      </c>
      <c r="D366" s="5" t="n">
        <v>6</v>
      </c>
      <c r="E366" s="5" t="inlineStr">
        <is>
          <t>Inicial</t>
        </is>
      </c>
      <c r="F366" s="5" t="inlineStr">
        <is>
          <t>II</t>
        </is>
      </c>
      <c r="G366" s="5" t="inlineStr">
        <is>
          <t>A agenda de ARR está publicada no site do órgão.</t>
        </is>
      </c>
      <c r="H366" s="6" t="n"/>
      <c r="I366" s="6" t="n"/>
      <c r="J366" s="6" t="n"/>
      <c r="K366" s="6" t="inlineStr">
        <is>
          <t>pendente</t>
        </is>
      </c>
      <c r="L366" s="6" t="n"/>
      <c r="M366" s="5">
        <f>IF(H366="SIM",1,0)</f>
        <v/>
      </c>
      <c r="N366" s="5">
        <f>IF(AND(H366="SIM",K366="validado",I366&lt;&gt;""),1,0)</f>
        <v/>
      </c>
    </row>
    <row r="367">
      <c r="A367" s="5" t="inlineStr">
        <is>
          <t>ANTAQ</t>
        </is>
      </c>
      <c r="B367" s="5" t="inlineStr">
        <is>
          <t>AIR_CAP.MC.I</t>
        </is>
      </c>
      <c r="C367" s="5" t="inlineStr">
        <is>
          <t>AIR_CAP</t>
        </is>
      </c>
      <c r="D367" s="5" t="n">
        <v>1</v>
      </c>
      <c r="E367" s="5" t="inlineStr">
        <is>
          <t>Melhoria Contínua</t>
        </is>
      </c>
      <c r="F367" s="5" t="inlineStr">
        <is>
          <t>I</t>
        </is>
      </c>
      <c r="G367" s="5" t="inlineStr">
        <is>
          <t>Plano de capacitação formalizado e em execução, incluindo permanente reciclagem em técnicas de AIR;</t>
        </is>
      </c>
      <c r="H367" s="6" t="n"/>
      <c r="I367" s="6" t="n"/>
      <c r="J367" s="6" t="n"/>
      <c r="K367" s="6" t="inlineStr">
        <is>
          <t>pendente</t>
        </is>
      </c>
      <c r="L367" s="6" t="n"/>
      <c r="M367" s="5">
        <f>IF(H367="SIM",1,0)</f>
        <v/>
      </c>
      <c r="N367" s="5">
        <f>IF(AND(H367="SIM",K367="validado",I367&lt;&gt;""),1,0)</f>
        <v/>
      </c>
    </row>
    <row r="368">
      <c r="A368" s="5" t="inlineStr">
        <is>
          <t>ANTAQ</t>
        </is>
      </c>
      <c r="B368" s="5" t="inlineStr">
        <is>
          <t>AIR_CAP.GER.I</t>
        </is>
      </c>
      <c r="C368" s="5" t="inlineStr">
        <is>
          <t>AIR_CAP</t>
        </is>
      </c>
      <c r="D368" s="5" t="n">
        <v>1</v>
      </c>
      <c r="E368" s="5" t="inlineStr">
        <is>
          <t>Gerenciado</t>
        </is>
      </c>
      <c r="F368" s="5" t="inlineStr">
        <is>
          <t>I</t>
        </is>
      </c>
      <c r="G368" s="5" t="inlineStr">
        <is>
          <t>Capacitações em AIR estão institucionalizadas, sem um plano formalizado;</t>
        </is>
      </c>
      <c r="H368" s="6" t="n"/>
      <c r="I368" s="6" t="n"/>
      <c r="J368" s="6" t="n"/>
      <c r="K368" s="6" t="inlineStr">
        <is>
          <t>pendente</t>
        </is>
      </c>
      <c r="L368" s="6" t="n"/>
      <c r="M368" s="5">
        <f>IF(H368="SIM",1,0)</f>
        <v/>
      </c>
      <c r="N368" s="5">
        <f>IF(AND(H368="SIM",K368="validado",I368&lt;&gt;""),1,0)</f>
        <v/>
      </c>
    </row>
    <row r="369">
      <c r="A369" s="5" t="inlineStr">
        <is>
          <t>ANTAQ</t>
        </is>
      </c>
      <c r="B369" s="5" t="inlineStr">
        <is>
          <t>AIR_CAP.INI.I</t>
        </is>
      </c>
      <c r="C369" s="5" t="inlineStr">
        <is>
          <t>AIR_CAP</t>
        </is>
      </c>
      <c r="D369" s="5" t="n">
        <v>1</v>
      </c>
      <c r="E369" s="5" t="inlineStr">
        <is>
          <t>Inicial</t>
        </is>
      </c>
      <c r="F369" s="5" t="inlineStr">
        <is>
          <t>I</t>
        </is>
      </c>
      <c r="G369" s="5" t="inlineStr">
        <is>
          <t>Capacitações em AIR não estão institucionalizadas;</t>
        </is>
      </c>
      <c r="H369" s="6" t="n"/>
      <c r="I369" s="6" t="n"/>
      <c r="J369" s="6" t="n"/>
      <c r="K369" s="6" t="inlineStr">
        <is>
          <t>pendente</t>
        </is>
      </c>
      <c r="L369" s="6" t="n"/>
      <c r="M369" s="5">
        <f>IF(H369="SIM",1,0)</f>
        <v/>
      </c>
      <c r="N369" s="5">
        <f>IF(AND(H369="SIM",K369="validado",I369&lt;&gt;""),1,0)</f>
        <v/>
      </c>
    </row>
    <row r="370">
      <c r="A370" s="5" t="inlineStr">
        <is>
          <t>ANTAQ</t>
        </is>
      </c>
      <c r="B370" s="5" t="inlineStr">
        <is>
          <t>AIR_CAP.MC.II</t>
        </is>
      </c>
      <c r="C370" s="5" t="inlineStr">
        <is>
          <t>AIR_CAP</t>
        </is>
      </c>
      <c r="D370" s="5" t="n">
        <v>1</v>
      </c>
      <c r="E370" s="5" t="inlineStr">
        <is>
          <t>Melhoria Contínua</t>
        </is>
      </c>
      <c r="F370" s="5" t="inlineStr">
        <is>
          <t>II</t>
        </is>
      </c>
      <c r="G370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70" s="6" t="n"/>
      <c r="I370" s="6" t="n"/>
      <c r="J370" s="6" t="n"/>
      <c r="K370" s="6" t="inlineStr">
        <is>
          <t>pendente</t>
        </is>
      </c>
      <c r="L370" s="6" t="n"/>
      <c r="M370" s="5">
        <f>IF(H370="SIM",1,0)</f>
        <v/>
      </c>
      <c r="N370" s="5">
        <f>IF(AND(H370="SIM",K370="validado",I370&lt;&gt;""),1,0)</f>
        <v/>
      </c>
    </row>
    <row r="371">
      <c r="A371" s="5" t="inlineStr">
        <is>
          <t>ANTAQ</t>
        </is>
      </c>
      <c r="B371" s="5" t="inlineStr">
        <is>
          <t>AIR_CAP.GER.II</t>
        </is>
      </c>
      <c r="C371" s="5" t="inlineStr">
        <is>
          <t>AIR_CAP</t>
        </is>
      </c>
      <c r="D371" s="5" t="n">
        <v>1</v>
      </c>
      <c r="E371" s="5" t="inlineStr">
        <is>
          <t>Gerenciado</t>
        </is>
      </c>
      <c r="F371" s="5" t="inlineStr">
        <is>
          <t>II</t>
        </is>
      </c>
      <c r="G371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371" s="6" t="n"/>
      <c r="I371" s="6" t="n"/>
      <c r="J371" s="6" t="n"/>
      <c r="K371" s="6" t="inlineStr">
        <is>
          <t>pendente</t>
        </is>
      </c>
      <c r="L371" s="6" t="n"/>
      <c r="M371" s="5">
        <f>IF(H371="SIM",1,0)</f>
        <v/>
      </c>
      <c r="N371" s="5">
        <f>IF(AND(H371="SIM",K371="validado",I371&lt;&gt;""),1,0)</f>
        <v/>
      </c>
    </row>
    <row r="372">
      <c r="A372" s="5" t="inlineStr">
        <is>
          <t>ANTAQ</t>
        </is>
      </c>
      <c r="B372" s="5" t="inlineStr">
        <is>
          <t>AIR_CAP.INI.II</t>
        </is>
      </c>
      <c r="C372" s="5" t="inlineStr">
        <is>
          <t>AIR_CAP</t>
        </is>
      </c>
      <c r="D372" s="5" t="n">
        <v>1</v>
      </c>
      <c r="E372" s="5" t="inlineStr">
        <is>
          <t>Inicial</t>
        </is>
      </c>
      <c r="F372" s="5" t="inlineStr">
        <is>
          <t>II</t>
        </is>
      </c>
      <c r="G372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372" s="6" t="n"/>
      <c r="I372" s="6" t="n"/>
      <c r="J372" s="6" t="n"/>
      <c r="K372" s="6" t="inlineStr">
        <is>
          <t>pendente</t>
        </is>
      </c>
      <c r="L372" s="6" t="n"/>
      <c r="M372" s="5">
        <f>IF(H372="SIM",1,0)</f>
        <v/>
      </c>
      <c r="N372" s="5">
        <f>IF(AND(H372="SIM",K372="validado",I372&lt;&gt;""),1,0)</f>
        <v/>
      </c>
    </row>
    <row r="373">
      <c r="A373" s="5" t="inlineStr">
        <is>
          <t>ANTAQ</t>
        </is>
      </c>
      <c r="B373" s="5" t="inlineStr">
        <is>
          <t>AIR_CAP.MC.III</t>
        </is>
      </c>
      <c r="C373" s="5" t="inlineStr">
        <is>
          <t>AIR_CAP</t>
        </is>
      </c>
      <c r="D373" s="5" t="n">
        <v>1</v>
      </c>
      <c r="E373" s="5" t="inlineStr">
        <is>
          <t>Melhoria Contínua</t>
        </is>
      </c>
      <c r="F373" s="5" t="inlineStr">
        <is>
          <t>III</t>
        </is>
      </c>
      <c r="G373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73" s="6" t="n"/>
      <c r="I373" s="6" t="n"/>
      <c r="J373" s="6" t="n"/>
      <c r="K373" s="6" t="inlineStr">
        <is>
          <t>pendente</t>
        </is>
      </c>
      <c r="L373" s="6" t="n"/>
      <c r="M373" s="5">
        <f>IF(H373="SIM",1,0)</f>
        <v/>
      </c>
      <c r="N373" s="5">
        <f>IF(AND(H373="SIM",K373="validado",I373&lt;&gt;""),1,0)</f>
        <v/>
      </c>
    </row>
    <row r="374">
      <c r="A374" s="5" t="inlineStr">
        <is>
          <t>ANTAQ</t>
        </is>
      </c>
      <c r="B374" s="5" t="inlineStr">
        <is>
          <t>AIR_CAP.GER.III</t>
        </is>
      </c>
      <c r="C374" s="5" t="inlineStr">
        <is>
          <t>AIR_CAP</t>
        </is>
      </c>
      <c r="D374" s="5" t="n">
        <v>1</v>
      </c>
      <c r="E374" s="5" t="inlineStr">
        <is>
          <t>Gerenciado</t>
        </is>
      </c>
      <c r="F374" s="5" t="inlineStr">
        <is>
          <t>III</t>
        </is>
      </c>
      <c r="G374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374" s="6" t="n"/>
      <c r="I374" s="6" t="n"/>
      <c r="J374" s="6" t="n"/>
      <c r="K374" s="6" t="inlineStr">
        <is>
          <t>pendente</t>
        </is>
      </c>
      <c r="L374" s="6" t="n"/>
      <c r="M374" s="5">
        <f>IF(H374="SIM",1,0)</f>
        <v/>
      </c>
      <c r="N374" s="5">
        <f>IF(AND(H374="SIM",K374="validado",I374&lt;&gt;""),1,0)</f>
        <v/>
      </c>
    </row>
    <row r="375">
      <c r="A375" s="5" t="inlineStr">
        <is>
          <t>ANTAQ</t>
        </is>
      </c>
      <c r="B375" s="5" t="inlineStr">
        <is>
          <t>AIR_CAP.INI.III</t>
        </is>
      </c>
      <c r="C375" s="5" t="inlineStr">
        <is>
          <t>AIR_CAP</t>
        </is>
      </c>
      <c r="D375" s="5" t="n">
        <v>1</v>
      </c>
      <c r="E375" s="5" t="inlineStr">
        <is>
          <t>Inicial</t>
        </is>
      </c>
      <c r="F375" s="5" t="inlineStr">
        <is>
          <t>III</t>
        </is>
      </c>
      <c r="G375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375" s="6" t="n"/>
      <c r="I375" s="6" t="n"/>
      <c r="J375" s="6" t="n"/>
      <c r="K375" s="6" t="inlineStr">
        <is>
          <t>pendente</t>
        </is>
      </c>
      <c r="L375" s="6" t="n"/>
      <c r="M375" s="5">
        <f>IF(H375="SIM",1,0)</f>
        <v/>
      </c>
      <c r="N375" s="5">
        <f>IF(AND(H375="SIM",K375="validado",I375&lt;&gt;""),1,0)</f>
        <v/>
      </c>
    </row>
    <row r="376">
      <c r="A376" s="5" t="inlineStr">
        <is>
          <t>ANTAQ</t>
        </is>
      </c>
      <c r="B376" s="5" t="inlineStr">
        <is>
          <t>AIR_CAP.GER.IV</t>
        </is>
      </c>
      <c r="C376" s="5" t="inlineStr">
        <is>
          <t>AIR_CAP</t>
        </is>
      </c>
      <c r="D376" s="5" t="n">
        <v>1</v>
      </c>
      <c r="E376" s="5" t="inlineStr">
        <is>
          <t>Gerenciado</t>
        </is>
      </c>
      <c r="F376" s="5" t="inlineStr">
        <is>
          <t>IV</t>
        </is>
      </c>
      <c r="G376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376" s="6" t="n"/>
      <c r="I376" s="6" t="n"/>
      <c r="J376" s="6" t="n"/>
      <c r="K376" s="6" t="inlineStr">
        <is>
          <t>pendente</t>
        </is>
      </c>
      <c r="L376" s="6" t="n"/>
      <c r="M376" s="5">
        <f>IF(H376="SIM",1,0)</f>
        <v/>
      </c>
      <c r="N376" s="5">
        <f>IF(AND(H376="SIM",K376="validado",I376&lt;&gt;""),1,0)</f>
        <v/>
      </c>
    </row>
    <row r="377">
      <c r="A377" s="5" t="inlineStr">
        <is>
          <t>ANTAQ</t>
        </is>
      </c>
      <c r="B377" s="5" t="inlineStr">
        <is>
          <t>AIR_MET.MC.I</t>
        </is>
      </c>
      <c r="C377" s="5" t="inlineStr">
        <is>
          <t>AIR_MET</t>
        </is>
      </c>
      <c r="D377" s="5" t="n">
        <v>1</v>
      </c>
      <c r="E377" s="5" t="inlineStr">
        <is>
          <t>Melhoria Contínua</t>
        </is>
      </c>
      <c r="F377" s="5" t="inlineStr">
        <is>
          <t>I</t>
        </is>
      </c>
      <c r="G377" s="5" t="inlineStr">
        <is>
          <t>Critérios objetivos estabelecidos para classificação quanto ao nível de impacto e complexidade da AIR;</t>
        </is>
      </c>
      <c r="H377" s="6" t="n"/>
      <c r="I377" s="6" t="n"/>
      <c r="J377" s="6" t="n"/>
      <c r="K377" s="6" t="inlineStr">
        <is>
          <t>pendente</t>
        </is>
      </c>
      <c r="L377" s="6" t="n"/>
      <c r="M377" s="5">
        <f>IF(H377="SIM",1,0)</f>
        <v/>
      </c>
      <c r="N377" s="5">
        <f>IF(AND(H377="SIM",K377="validado",I377&lt;&gt;""),1,0)</f>
        <v/>
      </c>
    </row>
    <row r="378">
      <c r="A378" s="5" t="inlineStr">
        <is>
          <t>ANTAQ</t>
        </is>
      </c>
      <c r="B378" s="5" t="inlineStr">
        <is>
          <t>AIR_MET.GER.I</t>
        </is>
      </c>
      <c r="C378" s="5" t="inlineStr">
        <is>
          <t>AIR_MET</t>
        </is>
      </c>
      <c r="D378" s="5" t="n">
        <v>1</v>
      </c>
      <c r="E378" s="5" t="inlineStr">
        <is>
          <t>Gerenciado</t>
        </is>
      </c>
      <c r="F378" s="5" t="inlineStr">
        <is>
          <t>I</t>
        </is>
      </c>
      <c r="G378" s="5" t="inlineStr">
        <is>
          <t>Existência de manual ou ato normativo interno instituindo a aplicabilidade institucional da AIR;</t>
        </is>
      </c>
      <c r="H378" s="6" t="n"/>
      <c r="I378" s="6" t="n"/>
      <c r="J378" s="6" t="n"/>
      <c r="K378" s="6" t="inlineStr">
        <is>
          <t>pendente</t>
        </is>
      </c>
      <c r="L378" s="6" t="n"/>
      <c r="M378" s="5">
        <f>IF(H378="SIM",1,0)</f>
        <v/>
      </c>
      <c r="N378" s="5">
        <f>IF(AND(H378="SIM",K378="validado",I378&lt;&gt;""),1,0)</f>
        <v/>
      </c>
    </row>
    <row r="379">
      <c r="A379" s="5" t="inlineStr">
        <is>
          <t>ANTAQ</t>
        </is>
      </c>
      <c r="B379" s="5" t="inlineStr">
        <is>
          <t>AIR_MET.INI.I</t>
        </is>
      </c>
      <c r="C379" s="5" t="inlineStr">
        <is>
          <t>AIR_MET</t>
        </is>
      </c>
      <c r="D379" s="5" t="n">
        <v>1</v>
      </c>
      <c r="E379" s="5" t="inlineStr">
        <is>
          <t>Inicial</t>
        </is>
      </c>
      <c r="F379" s="5" t="inlineStr">
        <is>
          <t>I</t>
        </is>
      </c>
      <c r="G379" s="5" t="inlineStr">
        <is>
          <t>houve a publicação de normativo interno dispondo sobre a aplicação da AIR na instituição, conforme Decreto nº 10.411, de 2020.</t>
        </is>
      </c>
      <c r="H379" s="6" t="n"/>
      <c r="I379" s="6" t="n"/>
      <c r="J379" s="6" t="n"/>
      <c r="K379" s="6" t="inlineStr">
        <is>
          <t>pendente</t>
        </is>
      </c>
      <c r="L379" s="6" t="n"/>
      <c r="M379" s="5">
        <f>IF(H379="SIM",1,0)</f>
        <v/>
      </c>
      <c r="N379" s="5">
        <f>IF(AND(H379="SIM",K379="validado",I379&lt;&gt;""),1,0)</f>
        <v/>
      </c>
    </row>
    <row r="380">
      <c r="A380" s="5" t="inlineStr">
        <is>
          <t>ANTAQ</t>
        </is>
      </c>
      <c r="B380" s="5" t="inlineStr">
        <is>
          <t>AIR_MET.MC.II</t>
        </is>
      </c>
      <c r="C380" s="5" t="inlineStr">
        <is>
          <t>AIR_MET</t>
        </is>
      </c>
      <c r="D380" s="5" t="n">
        <v>1</v>
      </c>
      <c r="E380" s="5" t="inlineStr">
        <is>
          <t>Melhoria Contínua</t>
        </is>
      </c>
      <c r="F380" s="5" t="inlineStr">
        <is>
          <t>II</t>
        </is>
      </c>
      <c r="G380" s="5" t="inlineStr">
        <is>
          <t>Metodologia contempla participação social prévia e posterior à elaboração da AIR, conforme complexidade do ato.</t>
        </is>
      </c>
      <c r="H380" s="6" t="n"/>
      <c r="I380" s="6" t="n"/>
      <c r="J380" s="6" t="n"/>
      <c r="K380" s="6" t="inlineStr">
        <is>
          <t>pendente</t>
        </is>
      </c>
      <c r="L380" s="6" t="n"/>
      <c r="M380" s="5">
        <f>IF(H380="SIM",1,0)</f>
        <v/>
      </c>
      <c r="N380" s="5">
        <f>IF(AND(H380="SIM",K380="validado",I380&lt;&gt;""),1,0)</f>
        <v/>
      </c>
    </row>
    <row r="381">
      <c r="A381" s="5" t="inlineStr">
        <is>
          <t>ANTAQ</t>
        </is>
      </c>
      <c r="B381" s="5" t="inlineStr">
        <is>
          <t>AIR_MET.GER.II</t>
        </is>
      </c>
      <c r="C381" s="5" t="inlineStr">
        <is>
          <t>AIR_MET</t>
        </is>
      </c>
      <c r="D381" s="5" t="n">
        <v>1</v>
      </c>
      <c r="E381" s="5" t="inlineStr">
        <is>
          <t>Gerenciado</t>
        </is>
      </c>
      <c r="F381" s="5" t="inlineStr">
        <is>
          <t>II</t>
        </is>
      </c>
      <c r="G381" s="5" t="inlineStr">
        <is>
          <t>Existência de manual ou ato normativo dispondo sobre a participação social posterior relativa à AIR.</t>
        </is>
      </c>
      <c r="H381" s="6" t="n"/>
      <c r="I381" s="6" t="n"/>
      <c r="J381" s="6" t="n"/>
      <c r="K381" s="6" t="inlineStr">
        <is>
          <t>pendente</t>
        </is>
      </c>
      <c r="L381" s="6" t="n"/>
      <c r="M381" s="5">
        <f>IF(H381="SIM",1,0)</f>
        <v/>
      </c>
      <c r="N381" s="5">
        <f>IF(AND(H381="SIM",K381="validado",I381&lt;&gt;""),1,0)</f>
        <v/>
      </c>
    </row>
    <row r="382">
      <c r="A382" s="5" t="inlineStr">
        <is>
          <t>ANTAQ</t>
        </is>
      </c>
      <c r="B382" s="5" t="inlineStr">
        <is>
          <t>AIR_PRO.MC.I</t>
        </is>
      </c>
      <c r="C382" s="5" t="inlineStr">
        <is>
          <t>AIR_PRO</t>
        </is>
      </c>
      <c r="D382" s="5" t="n">
        <v>1</v>
      </c>
      <c r="E382" s="5" t="inlineStr">
        <is>
          <t>Melhoria Contínua</t>
        </is>
      </c>
      <c r="F382" s="5" t="inlineStr">
        <is>
          <t>I</t>
        </is>
      </c>
      <c r="G382" s="5" t="inlineStr">
        <is>
          <t>Há processo contínuo de avaliação e melhoria do processo de elaboração de AIR;</t>
        </is>
      </c>
      <c r="H382" s="6" t="n"/>
      <c r="I382" s="6" t="n"/>
      <c r="J382" s="6" t="n"/>
      <c r="K382" s="6" t="inlineStr">
        <is>
          <t>pendente</t>
        </is>
      </c>
      <c r="L382" s="6" t="n"/>
      <c r="M382" s="5">
        <f>IF(H382="SIM",1,0)</f>
        <v/>
      </c>
      <c r="N382" s="5">
        <f>IF(AND(H382="SIM",K382="validado",I382&lt;&gt;""),1,0)</f>
        <v/>
      </c>
    </row>
    <row r="383">
      <c r="A383" s="5" t="inlineStr">
        <is>
          <t>ANTAQ</t>
        </is>
      </c>
      <c r="B383" s="5" t="inlineStr">
        <is>
          <t>AIR_PRO.GER.I</t>
        </is>
      </c>
      <c r="C383" s="5" t="inlineStr">
        <is>
          <t>AIR_PRO</t>
        </is>
      </c>
      <c r="D383" s="5" t="n">
        <v>1</v>
      </c>
      <c r="E383" s="5" t="inlineStr">
        <is>
          <t>Gerenciado</t>
        </is>
      </c>
      <c r="F383" s="5" t="inlineStr">
        <is>
          <t>I</t>
        </is>
      </c>
      <c r="G383" s="5" t="inlineStr">
        <is>
          <t>Todas as AIRs são sempre realizadas conforme manual ou ato normativo interno e publicadas e acessíveis ao público na internet;</t>
        </is>
      </c>
      <c r="H383" s="6" t="n"/>
      <c r="I383" s="6" t="n"/>
      <c r="J383" s="6" t="n"/>
      <c r="K383" s="6" t="inlineStr">
        <is>
          <t>pendente</t>
        </is>
      </c>
      <c r="L383" s="6" t="n"/>
      <c r="M383" s="5">
        <f>IF(H383="SIM",1,0)</f>
        <v/>
      </c>
      <c r="N383" s="5">
        <f>IF(AND(H383="SIM",K383="validado",I383&lt;&gt;""),1,0)</f>
        <v/>
      </c>
    </row>
    <row r="384">
      <c r="A384" s="5" t="inlineStr">
        <is>
          <t>ANTAQ</t>
        </is>
      </c>
      <c r="B384" s="5" t="inlineStr">
        <is>
          <t>AIR_PRO.INI.I</t>
        </is>
      </c>
      <c r="C384" s="5" t="inlineStr">
        <is>
          <t>AIR_PRO</t>
        </is>
      </c>
      <c r="D384" s="5" t="n">
        <v>1</v>
      </c>
      <c r="E384" s="5" t="inlineStr">
        <is>
          <t>Inicial</t>
        </is>
      </c>
      <c r="F384" s="5" t="inlineStr">
        <is>
          <t>I</t>
        </is>
      </c>
      <c r="G384" s="5" t="inlineStr">
        <is>
          <t>AIR é sempre realizada e a dispensa justificada, conforme critérios objetivos estabelecidos, conforme Decreto nº 10.411, de 2020;</t>
        </is>
      </c>
      <c r="H384" s="6" t="n"/>
      <c r="I384" s="6" t="n"/>
      <c r="J384" s="6" t="n"/>
      <c r="K384" s="6" t="inlineStr">
        <is>
          <t>pendente</t>
        </is>
      </c>
      <c r="L384" s="6" t="n"/>
      <c r="M384" s="5">
        <f>IF(H384="SIM",1,0)</f>
        <v/>
      </c>
      <c r="N384" s="5">
        <f>IF(AND(H384="SIM",K384="validado",I384&lt;&gt;""),1,0)</f>
        <v/>
      </c>
    </row>
    <row r="385">
      <c r="A385" s="5" t="inlineStr">
        <is>
          <t>ANTAQ</t>
        </is>
      </c>
      <c r="B385" s="5" t="inlineStr">
        <is>
          <t>AIR_PRO.MC.II</t>
        </is>
      </c>
      <c r="C385" s="5" t="inlineStr">
        <is>
          <t>AIR_PRO</t>
        </is>
      </c>
      <c r="D385" s="5" t="n">
        <v>1</v>
      </c>
      <c r="E385" s="5" t="inlineStr">
        <is>
          <t>Melhoria Contínua</t>
        </is>
      </c>
      <c r="F385" s="5" t="inlineStr">
        <is>
          <t>II</t>
        </is>
      </c>
      <c r="G385" s="5" t="inlineStr">
        <is>
          <t>Existência de instrumento de avaliação de qualidade das AIRs realizadas;</t>
        </is>
      </c>
      <c r="H385" s="6" t="n"/>
      <c r="I385" s="6" t="n"/>
      <c r="J385" s="6" t="n"/>
      <c r="K385" s="6" t="inlineStr">
        <is>
          <t>pendente</t>
        </is>
      </c>
      <c r="L385" s="6" t="n"/>
      <c r="M385" s="5">
        <f>IF(H385="SIM",1,0)</f>
        <v/>
      </c>
      <c r="N385" s="5">
        <f>IF(AND(H385="SIM",K385="validado",I385&lt;&gt;""),1,0)</f>
        <v/>
      </c>
    </row>
    <row r="386">
      <c r="A386" s="5" t="inlineStr">
        <is>
          <t>ANTAQ</t>
        </is>
      </c>
      <c r="B386" s="5" t="inlineStr">
        <is>
          <t>AIR_PRO.GER.II</t>
        </is>
      </c>
      <c r="C386" s="5" t="inlineStr">
        <is>
          <t>AIR_PRO</t>
        </is>
      </c>
      <c r="D386" s="5" t="n">
        <v>1</v>
      </c>
      <c r="E386" s="5" t="inlineStr">
        <is>
          <t>Gerenciado</t>
        </is>
      </c>
      <c r="F386" s="5" t="inlineStr">
        <is>
          <t>II</t>
        </is>
      </c>
      <c r="G386" s="5" t="inlineStr">
        <is>
          <t>O processo de elaboração de AIR está mapeado na instituição;</t>
        </is>
      </c>
      <c r="H386" s="6" t="n"/>
      <c r="I386" s="6" t="n"/>
      <c r="J386" s="6" t="n"/>
      <c r="K386" s="6" t="inlineStr">
        <is>
          <t>pendente</t>
        </is>
      </c>
      <c r="L386" s="6" t="n"/>
      <c r="M386" s="5">
        <f>IF(H386="SIM",1,0)</f>
        <v/>
      </c>
      <c r="N386" s="5">
        <f>IF(AND(H386="SIM",K386="validado",I386&lt;&gt;""),1,0)</f>
        <v/>
      </c>
    </row>
    <row r="387">
      <c r="A387" s="5" t="inlineStr">
        <is>
          <t>ANTAQ</t>
        </is>
      </c>
      <c r="B387" s="5" t="inlineStr">
        <is>
          <t>AIR_PRO.INI.II</t>
        </is>
      </c>
      <c r="C387" s="5" t="inlineStr">
        <is>
          <t>AIR_PRO</t>
        </is>
      </c>
      <c r="D387" s="5" t="n">
        <v>1</v>
      </c>
      <c r="E387" s="5" t="inlineStr">
        <is>
          <t>Inicial</t>
        </is>
      </c>
      <c r="F387" s="5" t="inlineStr">
        <is>
          <t>II</t>
        </is>
      </c>
      <c r="G387" s="5" t="inlineStr">
        <is>
          <t>Todas as AIRs são publicadas e acessíveis ao público na internet;</t>
        </is>
      </c>
      <c r="H387" s="6" t="n"/>
      <c r="I387" s="6" t="n"/>
      <c r="J387" s="6" t="n"/>
      <c r="K387" s="6" t="inlineStr">
        <is>
          <t>pendente</t>
        </is>
      </c>
      <c r="L387" s="6" t="n"/>
      <c r="M387" s="5">
        <f>IF(H387="SIM",1,0)</f>
        <v/>
      </c>
      <c r="N387" s="5">
        <f>IF(AND(H387="SIM",K387="validado",I387&lt;&gt;""),1,0)</f>
        <v/>
      </c>
    </row>
    <row r="388">
      <c r="A388" s="5" t="inlineStr">
        <is>
          <t>ANTAQ</t>
        </is>
      </c>
      <c r="B388" s="5" t="inlineStr">
        <is>
          <t>AIR_PRO.MC.III</t>
        </is>
      </c>
      <c r="C388" s="5" t="inlineStr">
        <is>
          <t>AIR_PRO</t>
        </is>
      </c>
      <c r="D388" s="5" t="n">
        <v>1</v>
      </c>
      <c r="E388" s="5" t="inlineStr">
        <is>
          <t>Melhoria Contínua</t>
        </is>
      </c>
      <c r="F388" s="5" t="inlineStr">
        <is>
          <t>III</t>
        </is>
      </c>
      <c r="G388" s="5" t="inlineStr">
        <is>
          <t>As AIRs de alto impacto/alta complexidade são submetidas à participação social prévia e posterior.</t>
        </is>
      </c>
      <c r="H388" s="6" t="n"/>
      <c r="I388" s="6" t="n"/>
      <c r="J388" s="6" t="n"/>
      <c r="K388" s="6" t="inlineStr">
        <is>
          <t>pendente</t>
        </is>
      </c>
      <c r="L388" s="6" t="n"/>
      <c r="M388" s="5">
        <f>IF(H388="SIM",1,0)</f>
        <v/>
      </c>
      <c r="N388" s="5">
        <f>IF(AND(H388="SIM",K388="validado",I388&lt;&gt;""),1,0)</f>
        <v/>
      </c>
    </row>
    <row r="389">
      <c r="A389" s="5" t="inlineStr">
        <is>
          <t>ANTAQ</t>
        </is>
      </c>
      <c r="B389" s="5" t="inlineStr">
        <is>
          <t>AIR_PRO.GER.III</t>
        </is>
      </c>
      <c r="C389" s="5" t="inlineStr">
        <is>
          <t>AIR_PRO</t>
        </is>
      </c>
      <c r="D389" s="5" t="n">
        <v>1</v>
      </c>
      <c r="E389" s="5" t="inlineStr">
        <is>
          <t>Gerenciado</t>
        </is>
      </c>
      <c r="F389" s="5" t="inlineStr">
        <is>
          <t>III</t>
        </is>
      </c>
      <c r="G389" s="5" t="inlineStr">
        <is>
          <t>As AIRs são objeto de participação social posterior, conforme decisão técnica.</t>
        </is>
      </c>
      <c r="H389" s="6" t="n"/>
      <c r="I389" s="6" t="n"/>
      <c r="J389" s="6" t="n"/>
      <c r="K389" s="6" t="inlineStr">
        <is>
          <t>pendente</t>
        </is>
      </c>
      <c r="L389" s="6" t="n"/>
      <c r="M389" s="5">
        <f>IF(H389="SIM",1,0)</f>
        <v/>
      </c>
      <c r="N389" s="5">
        <f>IF(AND(H389="SIM",K389="validado",I389&lt;&gt;""),1,0)</f>
        <v/>
      </c>
    </row>
    <row r="390">
      <c r="A390" s="5" t="inlineStr">
        <is>
          <t>ANTAQ</t>
        </is>
      </c>
      <c r="B390" s="5" t="inlineStr">
        <is>
          <t>AIR_PRO.INI.III</t>
        </is>
      </c>
      <c r="C390" s="5" t="inlineStr">
        <is>
          <t>AIR_PRO</t>
        </is>
      </c>
      <c r="D390" s="5" t="n">
        <v>1</v>
      </c>
      <c r="E390" s="5" t="inlineStr">
        <is>
          <t>Inicial</t>
        </is>
      </c>
      <c r="F390" s="5" t="inlineStr">
        <is>
          <t>III</t>
        </is>
      </c>
      <c r="G390" s="5" t="inlineStr">
        <is>
          <t>Participação Social é realizada, conforme Decreto nº 10.411, de 2020.</t>
        </is>
      </c>
      <c r="H390" s="6" t="n"/>
      <c r="I390" s="6" t="n"/>
      <c r="J390" s="6" t="n"/>
      <c r="K390" s="6" t="inlineStr">
        <is>
          <t>pendente</t>
        </is>
      </c>
      <c r="L390" s="6" t="n"/>
      <c r="M390" s="5">
        <f>IF(H390="SIM",1,0)</f>
        <v/>
      </c>
      <c r="N390" s="5">
        <f>IF(AND(H390="SIM",K390="validado",I390&lt;&gt;""),1,0)</f>
        <v/>
      </c>
    </row>
    <row r="391">
      <c r="A391" s="5" t="inlineStr">
        <is>
          <t>ANTAQ</t>
        </is>
      </c>
      <c r="B391" s="5" t="inlineStr">
        <is>
          <t>PS.MC.I</t>
        </is>
      </c>
      <c r="C391" s="5" t="inlineStr">
        <is>
          <t>PS</t>
        </is>
      </c>
      <c r="D391" s="5" t="n">
        <v>2</v>
      </c>
      <c r="E391" s="5" t="inlineStr">
        <is>
          <t>Melhoria Contínua</t>
        </is>
      </c>
      <c r="F391" s="5" t="inlineStr">
        <is>
          <t>I</t>
        </is>
      </c>
      <c r="G391" s="5" t="inlineStr">
        <is>
          <t>A instituição realiza eventos de participação social para a construção do conhecimento sobre dada matéria e para o desenvolvimento de propostas;</t>
        </is>
      </c>
      <c r="H391" s="6" t="n"/>
      <c r="I391" s="6" t="n"/>
      <c r="J391" s="6" t="n"/>
      <c r="K391" s="6" t="inlineStr">
        <is>
          <t>pendente</t>
        </is>
      </c>
      <c r="L391" s="6" t="n"/>
      <c r="M391" s="5">
        <f>IF(H391="SIM",1,0)</f>
        <v/>
      </c>
      <c r="N391" s="5">
        <f>IF(AND(H391="SIM",K391="validado",I391&lt;&gt;""),1,0)</f>
        <v/>
      </c>
    </row>
    <row r="392">
      <c r="A392" s="5" t="inlineStr">
        <is>
          <t>ANTAQ</t>
        </is>
      </c>
      <c r="B392" s="5" t="inlineStr">
        <is>
          <t>PS.GER.I</t>
        </is>
      </c>
      <c r="C392" s="5" t="inlineStr">
        <is>
          <t>PS</t>
        </is>
      </c>
      <c r="D392" s="5" t="n">
        <v>2</v>
      </c>
      <c r="E392" s="5" t="inlineStr">
        <is>
          <t>Gerenciado</t>
        </is>
      </c>
      <c r="F392" s="5" t="inlineStr">
        <is>
          <t>I</t>
        </is>
      </c>
      <c r="G392" s="5" t="inlineStr">
        <is>
          <t>Existência de manual ou ato normativo interno instituindo metodologia e procedimento de participação social;</t>
        </is>
      </c>
      <c r="H392" s="6" t="n"/>
      <c r="I392" s="6" t="n"/>
      <c r="J392" s="6" t="n"/>
      <c r="K392" s="6" t="inlineStr">
        <is>
          <t>pendente</t>
        </is>
      </c>
      <c r="L392" s="6" t="n"/>
      <c r="M392" s="5">
        <f>IF(H392="SIM",1,0)</f>
        <v/>
      </c>
      <c r="N392" s="5">
        <f>IF(AND(H392="SIM",K392="validado",I392&lt;&gt;""),1,0)</f>
        <v/>
      </c>
    </row>
    <row r="393">
      <c r="A393" s="5" t="inlineStr">
        <is>
          <t>ANTAQ</t>
        </is>
      </c>
      <c r="B393" s="5" t="inlineStr">
        <is>
          <t>PS.INI.I</t>
        </is>
      </c>
      <c r="C393" s="5" t="inlineStr">
        <is>
          <t>PS</t>
        </is>
      </c>
      <c r="D393" s="5" t="n">
        <v>2</v>
      </c>
      <c r="E393" s="5" t="inlineStr">
        <is>
          <t>Inicial</t>
        </is>
      </c>
      <c r="F393" s="5" t="inlineStr">
        <is>
          <t>I</t>
        </is>
      </c>
      <c r="G393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393" s="6" t="n"/>
      <c r="I393" s="6" t="n"/>
      <c r="J393" s="6" t="n"/>
      <c r="K393" s="6" t="inlineStr">
        <is>
          <t>pendente</t>
        </is>
      </c>
      <c r="L393" s="6" t="n"/>
      <c r="M393" s="5">
        <f>IF(H393="SIM",1,0)</f>
        <v/>
      </c>
      <c r="N393" s="5">
        <f>IF(AND(H393="SIM",K393="validado",I393&lt;&gt;""),1,0)</f>
        <v/>
      </c>
    </row>
    <row r="394">
      <c r="A394" s="5" t="inlineStr">
        <is>
          <t>ANTAQ</t>
        </is>
      </c>
      <c r="B394" s="5" t="inlineStr">
        <is>
          <t>PS.MC.II</t>
        </is>
      </c>
      <c r="C394" s="5" t="inlineStr">
        <is>
          <t>PS</t>
        </is>
      </c>
      <c r="D394" s="5" t="n">
        <v>2</v>
      </c>
      <c r="E394" s="5" t="inlineStr">
        <is>
          <t>Melhoria Contínua</t>
        </is>
      </c>
      <c r="F394" s="5" t="inlineStr">
        <is>
          <t>II</t>
        </is>
      </c>
      <c r="G394" s="5" t="inlineStr">
        <is>
          <t>Relatórios da Ouvidoria, relatórios do portal consumidor.gov, pesquisas de satisfação e dados de atendimento são utilizados para subsidiar as decisões regulatórias;</t>
        </is>
      </c>
      <c r="H394" s="6" t="n"/>
      <c r="I394" s="6" t="n"/>
      <c r="J394" s="6" t="n"/>
      <c r="K394" s="6" t="inlineStr">
        <is>
          <t>pendente</t>
        </is>
      </c>
      <c r="L394" s="6" t="n"/>
      <c r="M394" s="5">
        <f>IF(H394="SIM",1,0)</f>
        <v/>
      </c>
      <c r="N394" s="5">
        <f>IF(AND(H394="SIM",K394="validado",I394&lt;&gt;""),1,0)</f>
        <v/>
      </c>
    </row>
    <row r="395">
      <c r="A395" s="5" t="inlineStr">
        <is>
          <t>ANTAQ</t>
        </is>
      </c>
      <c r="B395" s="5" t="inlineStr">
        <is>
          <t>PS.GER.II</t>
        </is>
      </c>
      <c r="C395" s="5" t="inlineStr">
        <is>
          <t>PS</t>
        </is>
      </c>
      <c r="D395" s="5" t="n">
        <v>2</v>
      </c>
      <c r="E395" s="5" t="inlineStr">
        <is>
          <t>Gerenciado</t>
        </is>
      </c>
      <c r="F395" s="5" t="inlineStr">
        <is>
          <t>II</t>
        </is>
      </c>
      <c r="G395" s="5" t="inlineStr">
        <is>
          <t>Os relatórios da Ouvidoria e os relatórios do portal consumidor.gov são utilizados para subsidiar as decisões regulatórias;</t>
        </is>
      </c>
      <c r="H395" s="6" t="n"/>
      <c r="I395" s="6" t="n"/>
      <c r="J395" s="6" t="n"/>
      <c r="K395" s="6" t="inlineStr">
        <is>
          <t>pendente</t>
        </is>
      </c>
      <c r="L395" s="6" t="n"/>
      <c r="M395" s="5">
        <f>IF(H395="SIM",1,0)</f>
        <v/>
      </c>
      <c r="N395" s="5">
        <f>IF(AND(H395="SIM",K395="validado",I395&lt;&gt;""),1,0)</f>
        <v/>
      </c>
    </row>
    <row r="396">
      <c r="A396" s="5" t="inlineStr">
        <is>
          <t>ANTAQ</t>
        </is>
      </c>
      <c r="B396" s="5" t="inlineStr">
        <is>
          <t>PS.MC.III</t>
        </is>
      </c>
      <c r="C396" s="5" t="inlineStr">
        <is>
          <t>PS</t>
        </is>
      </c>
      <c r="D396" s="5" t="n">
        <v>2</v>
      </c>
      <c r="E396" s="5" t="inlineStr">
        <is>
          <t>Melhoria Contínua</t>
        </is>
      </c>
      <c r="F396" s="5" t="inlineStr">
        <is>
          <t>III</t>
        </is>
      </c>
      <c r="G396" s="5" t="inlineStr">
        <is>
          <t>Todos os instrumentos, processos e relatórios contendo as contribuições analisadas são divulgados no portal do órgão e/ou plataforma Participa Mais Brasil;</t>
        </is>
      </c>
      <c r="H396" s="6" t="n"/>
      <c r="I396" s="6" t="n"/>
      <c r="J396" s="6" t="n"/>
      <c r="K396" s="6" t="inlineStr">
        <is>
          <t>pendente</t>
        </is>
      </c>
      <c r="L396" s="6" t="n"/>
      <c r="M396" s="5">
        <f>IF(H396="SIM",1,0)</f>
        <v/>
      </c>
      <c r="N396" s="5">
        <f>IF(AND(H396="SIM",K396="validado",I396&lt;&gt;""),1,0)</f>
        <v/>
      </c>
    </row>
    <row r="397">
      <c r="A397" s="5" t="inlineStr">
        <is>
          <t>ANTAQ</t>
        </is>
      </c>
      <c r="B397" s="5" t="inlineStr">
        <is>
          <t>PS.GER.III</t>
        </is>
      </c>
      <c r="C397" s="5" t="inlineStr">
        <is>
          <t>PS</t>
        </is>
      </c>
      <c r="D397" s="5" t="n">
        <v>2</v>
      </c>
      <c r="E397" s="5" t="inlineStr">
        <is>
          <t>Gerenciado</t>
        </is>
      </c>
      <c r="F397" s="5" t="inlineStr">
        <is>
          <t>III</t>
        </is>
      </c>
      <c r="G397" s="5" t="inlineStr">
        <is>
          <t>Todas as informações relativas aos processos em andamento são divulgadas no portal do órgão e/ou plataforma Participa Mais Brasil;</t>
        </is>
      </c>
      <c r="H397" s="6" t="n"/>
      <c r="I397" s="6" t="n"/>
      <c r="J397" s="6" t="n"/>
      <c r="K397" s="6" t="inlineStr">
        <is>
          <t>pendente</t>
        </is>
      </c>
      <c r="L397" s="6" t="n"/>
      <c r="M397" s="5">
        <f>IF(H397="SIM",1,0)</f>
        <v/>
      </c>
      <c r="N397" s="5">
        <f>IF(AND(H397="SIM",K397="validado",I397&lt;&gt;""),1,0)</f>
        <v/>
      </c>
    </row>
    <row r="398">
      <c r="A398" s="5" t="inlineStr">
        <is>
          <t>ANTAQ</t>
        </is>
      </c>
      <c r="B398" s="5" t="inlineStr">
        <is>
          <t>PS.MC.IV</t>
        </is>
      </c>
      <c r="C398" s="5" t="inlineStr">
        <is>
          <t>PS</t>
        </is>
      </c>
      <c r="D398" s="5" t="n">
        <v>2</v>
      </c>
      <c r="E398" s="5" t="inlineStr">
        <is>
          <t>Melhoria Contínua</t>
        </is>
      </c>
      <c r="F398" s="5" t="inlineStr">
        <is>
          <t>IV</t>
        </is>
      </c>
      <c r="G398" s="5" t="inlineStr">
        <is>
          <t>A efetividade do evento de participação social é mensurada, conforme metodologia instituída.</t>
        </is>
      </c>
      <c r="H398" s="6" t="n"/>
      <c r="I398" s="6" t="n"/>
      <c r="J398" s="6" t="n"/>
      <c r="K398" s="6" t="inlineStr">
        <is>
          <t>pendente</t>
        </is>
      </c>
      <c r="L398" s="6" t="n"/>
      <c r="M398" s="5">
        <f>IF(H398="SIM",1,0)</f>
        <v/>
      </c>
      <c r="N398" s="5">
        <f>IF(AND(H398="SIM",K398="validado",I398&lt;&gt;""),1,0)</f>
        <v/>
      </c>
    </row>
    <row r="399">
      <c r="A399" s="5" t="inlineStr">
        <is>
          <t>ANTAQ</t>
        </is>
      </c>
      <c r="B399" s="5" t="inlineStr">
        <is>
          <t>PS.GER.IV</t>
        </is>
      </c>
      <c r="C399" s="5" t="inlineStr">
        <is>
          <t>PS</t>
        </is>
      </c>
      <c r="D399" s="5" t="n">
        <v>2</v>
      </c>
      <c r="E399" s="5" t="inlineStr">
        <is>
          <t>Gerenciado</t>
        </is>
      </c>
      <c r="F399" s="5" t="inlineStr">
        <is>
          <t>IV</t>
        </is>
      </c>
      <c r="G399" s="5" t="inlineStr">
        <is>
          <t>A efetividade do evento de participação social é avaliada de forma intuitiva.</t>
        </is>
      </c>
      <c r="H399" s="6" t="n"/>
      <c r="I399" s="6" t="n"/>
      <c r="J399" s="6" t="n"/>
      <c r="K399" s="6" t="inlineStr">
        <is>
          <t>pendente</t>
        </is>
      </c>
      <c r="L399" s="6" t="n"/>
      <c r="M399" s="5">
        <f>IF(H399="SIM",1,0)</f>
        <v/>
      </c>
      <c r="N399" s="5">
        <f>IF(AND(H399="SIM",K399="validado",I399&lt;&gt;""),1,0)</f>
        <v/>
      </c>
    </row>
    <row r="400">
      <c r="A400" s="5" t="inlineStr">
        <is>
          <t>ANTAQ</t>
        </is>
      </c>
      <c r="B400" s="5" t="inlineStr">
        <is>
          <t>EST.MC.I</t>
        </is>
      </c>
      <c r="C400" s="5" t="inlineStr">
        <is>
          <t>EST</t>
        </is>
      </c>
      <c r="D400" s="5" t="n">
        <v>3</v>
      </c>
      <c r="E400" s="5" t="inlineStr">
        <is>
          <t>Melhoria Contínua</t>
        </is>
      </c>
      <c r="F400" s="5" t="inlineStr">
        <is>
          <t>I</t>
        </is>
      </c>
      <c r="G400" s="5" t="inlineStr">
        <is>
          <t>As alterações do estoque regulatório da instituição são priorizadas por meio de uma agenda regulatória;</t>
        </is>
      </c>
      <c r="H400" s="6" t="n"/>
      <c r="I400" s="6" t="n"/>
      <c r="J400" s="6" t="n"/>
      <c r="K400" s="6" t="inlineStr">
        <is>
          <t>pendente</t>
        </is>
      </c>
      <c r="L400" s="6" t="n"/>
      <c r="M400" s="5">
        <f>IF(H400="SIM",1,0)</f>
        <v/>
      </c>
      <c r="N400" s="5">
        <f>IF(AND(H400="SIM",K400="validado",I400&lt;&gt;""),1,0)</f>
        <v/>
      </c>
    </row>
    <row r="401">
      <c r="A401" s="5" t="inlineStr">
        <is>
          <t>ANTAQ</t>
        </is>
      </c>
      <c r="B401" s="5" t="inlineStr">
        <is>
          <t>EST.GER.I</t>
        </is>
      </c>
      <c r="C401" s="5" t="inlineStr">
        <is>
          <t>EST</t>
        </is>
      </c>
      <c r="D401" s="5" t="n">
        <v>3</v>
      </c>
      <c r="E401" s="5" t="inlineStr">
        <is>
          <t>Gerenciado</t>
        </is>
      </c>
      <c r="F401" s="5" t="inlineStr">
        <is>
          <t>I</t>
        </is>
      </c>
      <c r="G401" s="5" t="inlineStr">
        <is>
          <t>Normas publicadas e disponíveis de maneira sistematizada para consulta pública no portal gov.br;</t>
        </is>
      </c>
      <c r="H401" s="6" t="n"/>
      <c r="I401" s="6" t="n"/>
      <c r="J401" s="6" t="n"/>
      <c r="K401" s="6" t="inlineStr">
        <is>
          <t>pendente</t>
        </is>
      </c>
      <c r="L401" s="6" t="n"/>
      <c r="M401" s="5">
        <f>IF(H401="SIM",1,0)</f>
        <v/>
      </c>
      <c r="N401" s="5">
        <f>IF(AND(H401="SIM",K401="validado",I401&lt;&gt;""),1,0)</f>
        <v/>
      </c>
    </row>
    <row r="402">
      <c r="A402" s="5" t="inlineStr">
        <is>
          <t>ANTAQ</t>
        </is>
      </c>
      <c r="B402" s="5" t="inlineStr">
        <is>
          <t>EST.INI.I</t>
        </is>
      </c>
      <c r="C402" s="5" t="inlineStr">
        <is>
          <t>EST</t>
        </is>
      </c>
      <c r="D402" s="5" t="n">
        <v>3</v>
      </c>
      <c r="E402" s="5" t="inlineStr">
        <is>
          <t>Inicial</t>
        </is>
      </c>
      <c r="F402" s="5" t="inlineStr">
        <is>
          <t>I</t>
        </is>
      </c>
      <c r="G402" s="5" t="inlineStr">
        <is>
          <t>Normas publicadas e disponíveis de maneira sistematizada para consulta pública na internet;</t>
        </is>
      </c>
      <c r="H402" s="6" t="n"/>
      <c r="I402" s="6" t="n"/>
      <c r="J402" s="6" t="n"/>
      <c r="K402" s="6" t="inlineStr">
        <is>
          <t>pendente</t>
        </is>
      </c>
      <c r="L402" s="6" t="n"/>
      <c r="M402" s="5">
        <f>IF(H402="SIM",1,0)</f>
        <v/>
      </c>
      <c r="N402" s="5">
        <f>IF(AND(H402="SIM",K402="validado",I402&lt;&gt;""),1,0)</f>
        <v/>
      </c>
    </row>
    <row r="403">
      <c r="A403" s="5" t="inlineStr">
        <is>
          <t>ANTAQ</t>
        </is>
      </c>
      <c r="B403" s="5" t="inlineStr">
        <is>
          <t>EST.MC.II</t>
        </is>
      </c>
      <c r="C403" s="5" t="inlineStr">
        <is>
          <t>EST</t>
        </is>
      </c>
      <c r="D403" s="5" t="n">
        <v>3</v>
      </c>
      <c r="E403" s="5" t="inlineStr">
        <is>
          <t>Melhoria Contínua</t>
        </is>
      </c>
      <c r="F403" s="5" t="inlineStr">
        <is>
          <t>II</t>
        </is>
      </c>
      <c r="G403" s="5" t="inlineStr">
        <is>
          <t>Todas as novas normas passam pela análise de consolidação e compatibilização de normas vigentes.</t>
        </is>
      </c>
      <c r="H403" s="6" t="n"/>
      <c r="I403" s="6" t="n"/>
      <c r="J403" s="6" t="n"/>
      <c r="K403" s="6" t="inlineStr">
        <is>
          <t>pendente</t>
        </is>
      </c>
      <c r="L403" s="6" t="n"/>
      <c r="M403" s="5">
        <f>IF(H403="SIM",1,0)</f>
        <v/>
      </c>
      <c r="N403" s="5">
        <f>IF(AND(H403="SIM",K403="validado",I403&lt;&gt;""),1,0)</f>
        <v/>
      </c>
    </row>
    <row r="404">
      <c r="A404" s="5" t="inlineStr">
        <is>
          <t>ANTAQ</t>
        </is>
      </c>
      <c r="B404" s="5" t="inlineStr">
        <is>
          <t>EST.GER.II</t>
        </is>
      </c>
      <c r="C404" s="5" t="inlineStr">
        <is>
          <t>EST</t>
        </is>
      </c>
      <c r="D404" s="5" t="n">
        <v>3</v>
      </c>
      <c r="E404" s="5" t="inlineStr">
        <is>
          <t>Gerenciado</t>
        </is>
      </c>
      <c r="F404" s="5" t="inlineStr">
        <is>
          <t>II</t>
        </is>
      </c>
      <c r="G404" s="5" t="inlineStr">
        <is>
          <t>Foi realizado levantamento quantitativo de todas as normas do órgão, bem como análise qualitativa, indexação e classificação por tema;</t>
        </is>
      </c>
      <c r="H404" s="6" t="n"/>
      <c r="I404" s="6" t="n"/>
      <c r="J404" s="6" t="n"/>
      <c r="K404" s="6" t="inlineStr">
        <is>
          <t>pendente</t>
        </is>
      </c>
      <c r="L404" s="6" t="n"/>
      <c r="M404" s="5">
        <f>IF(H404="SIM",1,0)</f>
        <v/>
      </c>
      <c r="N404" s="5">
        <f>IF(AND(H404="SIM",K404="validado",I404&lt;&gt;""),1,0)</f>
        <v/>
      </c>
    </row>
    <row r="405">
      <c r="A405" s="5" t="inlineStr">
        <is>
          <t>ANTAQ</t>
        </is>
      </c>
      <c r="B405" s="5" t="inlineStr">
        <is>
          <t>EST.INI.II</t>
        </is>
      </c>
      <c r="C405" s="5" t="inlineStr">
        <is>
          <t>EST</t>
        </is>
      </c>
      <c r="D405" s="5" t="n">
        <v>3</v>
      </c>
      <c r="E405" s="5" t="inlineStr">
        <is>
          <t>Inicial</t>
        </is>
      </c>
      <c r="F405" s="5" t="inlineStr">
        <is>
          <t>II</t>
        </is>
      </c>
      <c r="G405" s="5" t="inlineStr">
        <is>
          <t>Foi realizado levantamento quantitativo de todas as normas do órgão.</t>
        </is>
      </c>
      <c r="H405" s="6" t="n"/>
      <c r="I405" s="6" t="n"/>
      <c r="J405" s="6" t="n"/>
      <c r="K405" s="6" t="inlineStr">
        <is>
          <t>pendente</t>
        </is>
      </c>
      <c r="L405" s="6" t="n"/>
      <c r="M405" s="5">
        <f>IF(H405="SIM",1,0)</f>
        <v/>
      </c>
      <c r="N405" s="5">
        <f>IF(AND(H405="SIM",K405="validado",I405&lt;&gt;""),1,0)</f>
        <v/>
      </c>
    </row>
    <row r="406">
      <c r="A406" s="5" t="inlineStr">
        <is>
          <t>ANTAQ</t>
        </is>
      </c>
      <c r="B406" s="5" t="inlineStr">
        <is>
          <t>EST.GER.III</t>
        </is>
      </c>
      <c r="C406" s="5" t="inlineStr">
        <is>
          <t>EST</t>
        </is>
      </c>
      <c r="D406" s="5" t="n">
        <v>3</v>
      </c>
      <c r="E406" s="5" t="inlineStr">
        <is>
          <t>Gerenciado</t>
        </is>
      </c>
      <c r="F406" s="5" t="inlineStr">
        <is>
          <t>III</t>
        </is>
      </c>
      <c r="G406" s="5" t="inlineStr">
        <is>
          <t>Para toda a nova norma de alto impacto/alta complexidade foi estimado o fardo regulatório; e</t>
        </is>
      </c>
      <c r="H406" s="6" t="n"/>
      <c r="I406" s="6" t="n"/>
      <c r="J406" s="6" t="n"/>
      <c r="K406" s="6" t="inlineStr">
        <is>
          <t>pendente</t>
        </is>
      </c>
      <c r="L406" s="6" t="n"/>
      <c r="M406" s="5">
        <f>IF(H406="SIM",1,0)</f>
        <v/>
      </c>
      <c r="N406" s="5">
        <f>IF(AND(H406="SIM",K406="validado",I406&lt;&gt;""),1,0)</f>
        <v/>
      </c>
    </row>
    <row r="407">
      <c r="A407" s="5" t="inlineStr">
        <is>
          <t>ANTAQ</t>
        </is>
      </c>
      <c r="B407" s="5" t="inlineStr">
        <is>
          <t>EST.GER.IV</t>
        </is>
      </c>
      <c r="C407" s="5" t="inlineStr">
        <is>
          <t>EST</t>
        </is>
      </c>
      <c r="D407" s="5" t="n">
        <v>3</v>
      </c>
      <c r="E407" s="5" t="inlineStr">
        <is>
          <t>Gerenciado</t>
        </is>
      </c>
      <c r="F407" s="5" t="inlineStr">
        <is>
          <t>IV</t>
        </is>
      </c>
      <c r="G407" s="5" t="inlineStr">
        <is>
          <t>Existe manutenção da consolidação normativa, conforme art. 19 do Decreto nº 10.139, de 28 de novembro de 2019.</t>
        </is>
      </c>
      <c r="H407" s="6" t="n"/>
      <c r="I407" s="6" t="n"/>
      <c r="J407" s="6" t="n"/>
      <c r="K407" s="6" t="inlineStr">
        <is>
          <t>pendente</t>
        </is>
      </c>
      <c r="L407" s="6" t="n"/>
      <c r="M407" s="5">
        <f>IF(H407="SIM",1,0)</f>
        <v/>
      </c>
      <c r="N407" s="5">
        <f>IF(AND(H407="SIM",K407="validado",I407&lt;&gt;""),1,0)</f>
        <v/>
      </c>
    </row>
    <row r="408">
      <c r="A408" s="5" t="inlineStr">
        <is>
          <t>ANTAQ</t>
        </is>
      </c>
      <c r="B408" s="5" t="inlineStr">
        <is>
          <t>AGE.MC.I</t>
        </is>
      </c>
      <c r="C408" s="5" t="inlineStr">
        <is>
          <t>AGE</t>
        </is>
      </c>
      <c r="D408" s="5" t="n">
        <v>4</v>
      </c>
      <c r="E408" s="5" t="inlineStr">
        <is>
          <t>Melhoria Contínua</t>
        </is>
      </c>
      <c r="F408" s="5" t="inlineStr">
        <is>
          <t>I</t>
        </is>
      </c>
      <c r="G408" s="5" t="inlineStr">
        <is>
          <t>A elaboração da agenda regulatória tem ampla participação social, a qual é analisada, respondida e divulgada;</t>
        </is>
      </c>
      <c r="H408" s="6" t="n"/>
      <c r="I408" s="6" t="n"/>
      <c r="J408" s="6" t="n"/>
      <c r="K408" s="6" t="inlineStr">
        <is>
          <t>pendente</t>
        </is>
      </c>
      <c r="L408" s="6" t="n"/>
      <c r="M408" s="5">
        <f>IF(H408="SIM",1,0)</f>
        <v/>
      </c>
      <c r="N408" s="5">
        <f>IF(AND(H408="SIM",K408="validado",I408&lt;&gt;""),1,0)</f>
        <v/>
      </c>
    </row>
    <row r="409">
      <c r="A409" s="5" t="inlineStr">
        <is>
          <t>ANTAQ</t>
        </is>
      </c>
      <c r="B409" s="5" t="inlineStr">
        <is>
          <t>AGE.GER.I</t>
        </is>
      </c>
      <c r="C409" s="5" t="inlineStr">
        <is>
          <t>AGE</t>
        </is>
      </c>
      <c r="D409" s="5" t="n">
        <v>4</v>
      </c>
      <c r="E409" s="5" t="inlineStr">
        <is>
          <t>Gerenciado</t>
        </is>
      </c>
      <c r="F409" s="5" t="inlineStr">
        <is>
          <t>I</t>
        </is>
      </c>
      <c r="G409" s="5" t="inlineStr">
        <is>
          <t>A elaboração da agenda regulatória tem ampla participação social, a qual é analisada, porém não respondida e divulgada;</t>
        </is>
      </c>
      <c r="H409" s="6" t="n"/>
      <c r="I409" s="6" t="n"/>
      <c r="J409" s="6" t="n"/>
      <c r="K409" s="6" t="inlineStr">
        <is>
          <t>pendente</t>
        </is>
      </c>
      <c r="L409" s="6" t="n"/>
      <c r="M409" s="5">
        <f>IF(H409="SIM",1,0)</f>
        <v/>
      </c>
      <c r="N409" s="5">
        <f>IF(AND(H409="SIM",K409="validado",I409&lt;&gt;""),1,0)</f>
        <v/>
      </c>
    </row>
    <row r="410">
      <c r="A410" s="5" t="inlineStr">
        <is>
          <t>ANTAQ</t>
        </is>
      </c>
      <c r="B410" s="5" t="inlineStr">
        <is>
          <t>AGE.INI.I</t>
        </is>
      </c>
      <c r="C410" s="5" t="inlineStr">
        <is>
          <t>AGE</t>
        </is>
      </c>
      <c r="D410" s="5" t="n">
        <v>4</v>
      </c>
      <c r="E410" s="5" t="inlineStr">
        <is>
          <t>Inicial</t>
        </is>
      </c>
      <c r="F410" s="5" t="inlineStr">
        <is>
          <t>I</t>
        </is>
      </c>
      <c r="G410" s="5" t="inlineStr">
        <is>
          <t>Os temas da agenda regulatória são elencados e priorizados pelos gestores da agência;</t>
        </is>
      </c>
      <c r="H410" s="6" t="n"/>
      <c r="I410" s="6" t="n"/>
      <c r="J410" s="6" t="n"/>
      <c r="K410" s="6" t="inlineStr">
        <is>
          <t>pendente</t>
        </is>
      </c>
      <c r="L410" s="6" t="n"/>
      <c r="M410" s="5">
        <f>IF(H410="SIM",1,0)</f>
        <v/>
      </c>
      <c r="N410" s="5">
        <f>IF(AND(H410="SIM",K410="validado",I410&lt;&gt;""),1,0)</f>
        <v/>
      </c>
    </row>
    <row r="411">
      <c r="A411" s="5" t="inlineStr">
        <is>
          <t>ANTAQ</t>
        </is>
      </c>
      <c r="B411" s="5" t="inlineStr">
        <is>
          <t>AGE.MC.II</t>
        </is>
      </c>
      <c r="C411" s="5" t="inlineStr">
        <is>
          <t>AGE</t>
        </is>
      </c>
      <c r="D411" s="5" t="n">
        <v>4</v>
      </c>
      <c r="E411" s="5" t="inlineStr">
        <is>
          <t>Melhoria Contínua</t>
        </is>
      </c>
      <c r="F411" s="5" t="inlineStr">
        <is>
          <t>II</t>
        </is>
      </c>
      <c r="G411" s="5" t="inlineStr">
        <is>
          <t>Os projetos da Agenda Regulatória estão aderentes ao planejamento estratégico vigente e estão correlacionados ao Plano de Gestão Anual;</t>
        </is>
      </c>
      <c r="H411" s="6" t="n"/>
      <c r="I411" s="6" t="n"/>
      <c r="J411" s="6" t="n"/>
      <c r="K411" s="6" t="inlineStr">
        <is>
          <t>pendente</t>
        </is>
      </c>
      <c r="L411" s="6" t="n"/>
      <c r="M411" s="5">
        <f>IF(H411="SIM",1,0)</f>
        <v/>
      </c>
      <c r="N411" s="5">
        <f>IF(AND(H411="SIM",K411="validado",I411&lt;&gt;""),1,0)</f>
        <v/>
      </c>
    </row>
    <row r="412">
      <c r="A412" s="5" t="inlineStr">
        <is>
          <t>ANTAQ</t>
        </is>
      </c>
      <c r="B412" s="5" t="inlineStr">
        <is>
          <t>AGE.GER.II</t>
        </is>
      </c>
      <c r="C412" s="5" t="inlineStr">
        <is>
          <t>AGE</t>
        </is>
      </c>
      <c r="D412" s="5" t="n">
        <v>4</v>
      </c>
      <c r="E412" s="5" t="inlineStr">
        <is>
          <t>Gerenciado</t>
        </is>
      </c>
      <c r="F412" s="5" t="inlineStr">
        <is>
          <t>II</t>
        </is>
      </c>
      <c r="G412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12" s="6" t="n"/>
      <c r="I412" s="6" t="n"/>
      <c r="J412" s="6" t="n"/>
      <c r="K412" s="6" t="inlineStr">
        <is>
          <t>pendente</t>
        </is>
      </c>
      <c r="L412" s="6" t="n"/>
      <c r="M412" s="5">
        <f>IF(H412="SIM",1,0)</f>
        <v/>
      </c>
      <c r="N412" s="5">
        <f>IF(AND(H412="SIM",K412="validado",I412&lt;&gt;""),1,0)</f>
        <v/>
      </c>
    </row>
    <row r="413">
      <c r="A413" s="5" t="inlineStr">
        <is>
          <t>ANTAQ</t>
        </is>
      </c>
      <c r="B413" s="5" t="inlineStr">
        <is>
          <t>AGE.INI.II</t>
        </is>
      </c>
      <c r="C413" s="5" t="inlineStr">
        <is>
          <t>AGE</t>
        </is>
      </c>
      <c r="D413" s="5" t="n">
        <v>4</v>
      </c>
      <c r="E413" s="5" t="inlineStr">
        <is>
          <t>Inicial</t>
        </is>
      </c>
      <c r="F413" s="5" t="inlineStr">
        <is>
          <t>II</t>
        </is>
      </c>
      <c r="G413" s="5" t="inlineStr">
        <is>
          <t>É avaliada a aderência da proposta de Agenda às políticas públicas.</t>
        </is>
      </c>
      <c r="H413" s="6" t="n"/>
      <c r="I413" s="6" t="n"/>
      <c r="J413" s="6" t="n"/>
      <c r="K413" s="6" t="inlineStr">
        <is>
          <t>pendente</t>
        </is>
      </c>
      <c r="L413" s="6" t="n"/>
      <c r="M413" s="5">
        <f>IF(H413="SIM",1,0)</f>
        <v/>
      </c>
      <c r="N413" s="5">
        <f>IF(AND(H413="SIM",K413="validado",I413&lt;&gt;""),1,0)</f>
        <v/>
      </c>
    </row>
    <row r="414">
      <c r="A414" s="5" t="inlineStr">
        <is>
          <t>ANTAQ</t>
        </is>
      </c>
      <c r="B414" s="5" t="inlineStr">
        <is>
          <t>AGE.MC.III</t>
        </is>
      </c>
      <c r="C414" s="5" t="inlineStr">
        <is>
          <t>AGE</t>
        </is>
      </c>
      <c r="D414" s="5" t="n">
        <v>4</v>
      </c>
      <c r="E414" s="5" t="inlineStr">
        <is>
          <t>Melhoria Contínua</t>
        </is>
      </c>
      <c r="F414" s="5" t="inlineStr">
        <is>
          <t>III</t>
        </is>
      </c>
      <c r="G414" s="5" t="inlineStr">
        <is>
          <t>Cumprimento de, no mínimo, 80% da Agenda Regulatória;</t>
        </is>
      </c>
      <c r="H414" s="6" t="n"/>
      <c r="I414" s="6" t="n"/>
      <c r="J414" s="6" t="n"/>
      <c r="K414" s="6" t="inlineStr">
        <is>
          <t>pendente</t>
        </is>
      </c>
      <c r="L414" s="6" t="n"/>
      <c r="M414" s="5">
        <f>IF(H414="SIM",1,0)</f>
        <v/>
      </c>
      <c r="N414" s="5">
        <f>IF(AND(H414="SIM",K414="validado",I414&lt;&gt;""),1,0)</f>
        <v/>
      </c>
    </row>
    <row r="415">
      <c r="A415" s="5" t="inlineStr">
        <is>
          <t>ANTAQ</t>
        </is>
      </c>
      <c r="B415" s="5" t="inlineStr">
        <is>
          <t>AGE.GER.III</t>
        </is>
      </c>
      <c r="C415" s="5" t="inlineStr">
        <is>
          <t>AGE</t>
        </is>
      </c>
      <c r="D415" s="5" t="n">
        <v>4</v>
      </c>
      <c r="E415" s="5" t="inlineStr">
        <is>
          <t>Gerenciado</t>
        </is>
      </c>
      <c r="F415" s="5" t="inlineStr">
        <is>
          <t>III</t>
        </is>
      </c>
      <c r="G415" s="5" t="inlineStr">
        <is>
          <t>Cumprimento de 50% a 79% da Agenda Regulatória;</t>
        </is>
      </c>
      <c r="H415" s="6" t="n"/>
      <c r="I415" s="6" t="n"/>
      <c r="J415" s="6" t="n"/>
      <c r="K415" s="6" t="inlineStr">
        <is>
          <t>pendente</t>
        </is>
      </c>
      <c r="L415" s="6" t="n"/>
      <c r="M415" s="5">
        <f>IF(H415="SIM",1,0)</f>
        <v/>
      </c>
      <c r="N415" s="5">
        <f>IF(AND(H415="SIM",K415="validado",I415&lt;&gt;""),1,0)</f>
        <v/>
      </c>
    </row>
    <row r="416">
      <c r="A416" s="5" t="inlineStr">
        <is>
          <t>ANTAQ</t>
        </is>
      </c>
      <c r="B416" s="5" t="inlineStr">
        <is>
          <t>AGE.MC.IV</t>
        </is>
      </c>
      <c r="C416" s="5" t="inlineStr">
        <is>
          <t>AGE</t>
        </is>
      </c>
      <c r="D416" s="5" t="n">
        <v>4</v>
      </c>
      <c r="E416" s="5" t="inlineStr">
        <is>
          <t>Melhoria Contínua</t>
        </is>
      </c>
      <c r="F416" s="5" t="inlineStr">
        <is>
          <t>IV</t>
        </is>
      </c>
      <c r="G416" s="5" t="inlineStr">
        <is>
          <t>A execução da Agenda Regulatória é periodicamente monitorada e divulgada.</t>
        </is>
      </c>
      <c r="H416" s="6" t="n"/>
      <c r="I416" s="6" t="n"/>
      <c r="J416" s="6" t="n"/>
      <c r="K416" s="6" t="inlineStr">
        <is>
          <t>pendente</t>
        </is>
      </c>
      <c r="L416" s="6" t="n"/>
      <c r="M416" s="5">
        <f>IF(H416="SIM",1,0)</f>
        <v/>
      </c>
      <c r="N416" s="5">
        <f>IF(AND(H416="SIM",K416="validado",I416&lt;&gt;""),1,0)</f>
        <v/>
      </c>
    </row>
    <row r="417">
      <c r="A417" s="5" t="inlineStr">
        <is>
          <t>ANTAQ</t>
        </is>
      </c>
      <c r="B417" s="5" t="inlineStr">
        <is>
          <t>AGE.GER.IV</t>
        </is>
      </c>
      <c r="C417" s="5" t="inlineStr">
        <is>
          <t>AGE</t>
        </is>
      </c>
      <c r="D417" s="5" t="n">
        <v>4</v>
      </c>
      <c r="E417" s="5" t="inlineStr">
        <is>
          <t>Gerenciado</t>
        </is>
      </c>
      <c r="F417" s="5" t="inlineStr">
        <is>
          <t>IV</t>
        </is>
      </c>
      <c r="G417" s="5" t="inlineStr">
        <is>
          <t>A execução da Agenda Regulatória é periodicamente monitorada.</t>
        </is>
      </c>
      <c r="H417" s="6" t="n"/>
      <c r="I417" s="6" t="n"/>
      <c r="J417" s="6" t="n"/>
      <c r="K417" s="6" t="inlineStr">
        <is>
          <t>pendente</t>
        </is>
      </c>
      <c r="L417" s="6" t="n"/>
      <c r="M417" s="5">
        <f>IF(H417="SIM",1,0)</f>
        <v/>
      </c>
      <c r="N417" s="5">
        <f>IF(AND(H417="SIM",K417="validado",I417&lt;&gt;""),1,0)</f>
        <v/>
      </c>
    </row>
    <row r="418">
      <c r="A418" s="5" t="inlineStr">
        <is>
          <t>ANTAQ</t>
        </is>
      </c>
      <c r="B418" s="5" t="inlineStr">
        <is>
          <t>PRO.MC.I</t>
        </is>
      </c>
      <c r="C418" s="5" t="inlineStr">
        <is>
          <t>PRO</t>
        </is>
      </c>
      <c r="D418" s="5" t="n">
        <v>5</v>
      </c>
      <c r="E418" s="5" t="inlineStr">
        <is>
          <t>Melhoria Contínua</t>
        </is>
      </c>
      <c r="F418" s="5" t="inlineStr">
        <is>
          <t>I</t>
        </is>
      </c>
      <c r="G418" s="5" t="inlineStr">
        <is>
          <t>Indicadores de processo normativo estabelecidos e monitorados;</t>
        </is>
      </c>
      <c r="H418" s="6" t="n"/>
      <c r="I418" s="6" t="n"/>
      <c r="J418" s="6" t="n"/>
      <c r="K418" s="6" t="inlineStr">
        <is>
          <t>pendente</t>
        </is>
      </c>
      <c r="L418" s="6" t="n"/>
      <c r="M418" s="5">
        <f>IF(H418="SIM",1,0)</f>
        <v/>
      </c>
      <c r="N418" s="5">
        <f>IF(AND(H418="SIM",K418="validado",I418&lt;&gt;""),1,0)</f>
        <v/>
      </c>
    </row>
    <row r="419">
      <c r="A419" s="5" t="inlineStr">
        <is>
          <t>ANTAQ</t>
        </is>
      </c>
      <c r="B419" s="5" t="inlineStr">
        <is>
          <t>PRO.GER.I</t>
        </is>
      </c>
      <c r="C419" s="5" t="inlineStr">
        <is>
          <t>PRO</t>
        </is>
      </c>
      <c r="D419" s="5" t="n">
        <v>5</v>
      </c>
      <c r="E419" s="5" t="inlineStr">
        <is>
          <t>Gerenciado</t>
        </is>
      </c>
      <c r="F419" s="5" t="inlineStr">
        <is>
          <t>I</t>
        </is>
      </c>
      <c r="G419" s="5" t="inlineStr">
        <is>
          <t>as intervenções de participação social estão claramente inseridas no processo.</t>
        </is>
      </c>
      <c r="H419" s="6" t="n"/>
      <c r="I419" s="6" t="n"/>
      <c r="J419" s="6" t="n"/>
      <c r="K419" s="6" t="inlineStr">
        <is>
          <t>pendente</t>
        </is>
      </c>
      <c r="L419" s="6" t="n"/>
      <c r="M419" s="5">
        <f>IF(H419="SIM",1,0)</f>
        <v/>
      </c>
      <c r="N419" s="5">
        <f>IF(AND(H419="SIM",K419="validado",I419&lt;&gt;""),1,0)</f>
        <v/>
      </c>
    </row>
    <row r="420">
      <c r="A420" s="5" t="inlineStr">
        <is>
          <t>ANTAQ</t>
        </is>
      </c>
      <c r="B420" s="5" t="inlineStr">
        <is>
          <t>PRO.INI.I</t>
        </is>
      </c>
      <c r="C420" s="5" t="inlineStr">
        <is>
          <t>PRO</t>
        </is>
      </c>
      <c r="D420" s="5" t="n">
        <v>5</v>
      </c>
      <c r="E420" s="5" t="inlineStr">
        <is>
          <t>Inicial</t>
        </is>
      </c>
      <c r="F420" s="5" t="inlineStr">
        <is>
          <t>I</t>
        </is>
      </c>
      <c r="G420" s="5" t="inlineStr">
        <is>
          <t>O fluxo do processo normativo é formalizado de forma bem definida e clara;</t>
        </is>
      </c>
      <c r="H420" s="6" t="n"/>
      <c r="I420" s="6" t="n"/>
      <c r="J420" s="6" t="n"/>
      <c r="K420" s="6" t="inlineStr">
        <is>
          <t>pendente</t>
        </is>
      </c>
      <c r="L420" s="6" t="n"/>
      <c r="M420" s="5">
        <f>IF(H420="SIM",1,0)</f>
        <v/>
      </c>
      <c r="N420" s="5">
        <f>IF(AND(H420="SIM",K420="validado",I420&lt;&gt;""),1,0)</f>
        <v/>
      </c>
    </row>
    <row r="421">
      <c r="A421" s="5" t="inlineStr">
        <is>
          <t>ANTAQ</t>
        </is>
      </c>
      <c r="B421" s="5" t="inlineStr">
        <is>
          <t>PRO.MC.II</t>
        </is>
      </c>
      <c r="C421" s="5" t="inlineStr">
        <is>
          <t>PRO</t>
        </is>
      </c>
      <c r="D421" s="5" t="n">
        <v>5</v>
      </c>
      <c r="E421" s="5" t="inlineStr">
        <is>
          <t>Melhoria Contínua</t>
        </is>
      </c>
      <c r="F421" s="5" t="inlineStr">
        <is>
          <t>II</t>
        </is>
      </c>
      <c r="G421" s="5" t="inlineStr">
        <is>
          <t>Há processo contínuo de avaliação e melhoria do processo normativo, utilizando o resultado dos indicadores.</t>
        </is>
      </c>
      <c r="H421" s="6" t="n"/>
      <c r="I421" s="6" t="n"/>
      <c r="J421" s="6" t="n"/>
      <c r="K421" s="6" t="inlineStr">
        <is>
          <t>pendente</t>
        </is>
      </c>
      <c r="L421" s="6" t="n"/>
      <c r="M421" s="5">
        <f>IF(H421="SIM",1,0)</f>
        <v/>
      </c>
      <c r="N421" s="5">
        <f>IF(AND(H421="SIM",K421="validado",I421&lt;&gt;""),1,0)</f>
        <v/>
      </c>
    </row>
    <row r="422">
      <c r="A422" s="5" t="inlineStr">
        <is>
          <t>ANTAQ</t>
        </is>
      </c>
      <c r="B422" s="5" t="inlineStr">
        <is>
          <t>PRO.INI.II</t>
        </is>
      </c>
      <c r="C422" s="5" t="inlineStr">
        <is>
          <t>PRO</t>
        </is>
      </c>
      <c r="D422" s="5" t="n">
        <v>5</v>
      </c>
      <c r="E422" s="5" t="inlineStr">
        <is>
          <t>Inicial</t>
        </is>
      </c>
      <c r="F422" s="5" t="inlineStr">
        <is>
          <t>II</t>
        </is>
      </c>
      <c r="G422" s="5" t="inlineStr">
        <is>
          <t>As instâncias de aprovação estabelecidas são claras e formalizadas.</t>
        </is>
      </c>
      <c r="H422" s="6" t="n"/>
      <c r="I422" s="6" t="n"/>
      <c r="J422" s="6" t="n"/>
      <c r="K422" s="6" t="inlineStr">
        <is>
          <t>pendente</t>
        </is>
      </c>
      <c r="L422" s="6" t="n"/>
      <c r="M422" s="5">
        <f>IF(H422="SIM",1,0)</f>
        <v/>
      </c>
      <c r="N422" s="5">
        <f>IF(AND(H422="SIM",K422="validado",I422&lt;&gt;""),1,0)</f>
        <v/>
      </c>
    </row>
    <row r="423">
      <c r="A423" s="5" t="inlineStr">
        <is>
          <t>ANTAQ</t>
        </is>
      </c>
      <c r="B423" s="5" t="inlineStr">
        <is>
          <t>ARR_CAP.MC.I</t>
        </is>
      </c>
      <c r="C423" s="5" t="inlineStr">
        <is>
          <t>ARR_CAP</t>
        </is>
      </c>
      <c r="D423" s="5" t="n">
        <v>6</v>
      </c>
      <c r="E423" s="5" t="inlineStr">
        <is>
          <t>Melhoria Contínua</t>
        </is>
      </c>
      <c r="F423" s="5" t="inlineStr">
        <is>
          <t>I</t>
        </is>
      </c>
      <c r="G423" s="5" t="inlineStr">
        <is>
          <t>Plano de capacitação formalizado e em execução, incluindo permanente reciclagem em ARR;</t>
        </is>
      </c>
      <c r="H423" s="6" t="n"/>
      <c r="I423" s="6" t="n"/>
      <c r="J423" s="6" t="n"/>
      <c r="K423" s="6" t="inlineStr">
        <is>
          <t>pendente</t>
        </is>
      </c>
      <c r="L423" s="6" t="n"/>
      <c r="M423" s="5">
        <f>IF(H423="SIM",1,0)</f>
        <v/>
      </c>
      <c r="N423" s="5">
        <f>IF(AND(H423="SIM",K423="validado",I423&lt;&gt;""),1,0)</f>
        <v/>
      </c>
    </row>
    <row r="424">
      <c r="A424" s="5" t="inlineStr">
        <is>
          <t>ANTAQ</t>
        </is>
      </c>
      <c r="B424" s="5" t="inlineStr">
        <is>
          <t>ARR_CAP.GER.I</t>
        </is>
      </c>
      <c r="C424" s="5" t="inlineStr">
        <is>
          <t>ARR_CAP</t>
        </is>
      </c>
      <c r="D424" s="5" t="n">
        <v>6</v>
      </c>
      <c r="E424" s="5" t="inlineStr">
        <is>
          <t>Gerenciado</t>
        </is>
      </c>
      <c r="F424" s="5" t="inlineStr">
        <is>
          <t>I</t>
        </is>
      </c>
      <c r="G424" s="5" t="inlineStr">
        <is>
          <t>Capacitações institucionalizadas, sem um plano formalizado;</t>
        </is>
      </c>
      <c r="H424" s="6" t="n"/>
      <c r="I424" s="6" t="n"/>
      <c r="J424" s="6" t="n"/>
      <c r="K424" s="6" t="inlineStr">
        <is>
          <t>pendente</t>
        </is>
      </c>
      <c r="L424" s="6" t="n"/>
      <c r="M424" s="5">
        <f>IF(H424="SIM",1,0)</f>
        <v/>
      </c>
      <c r="N424" s="5">
        <f>IF(AND(H424="SIM",K424="validado",I424&lt;&gt;""),1,0)</f>
        <v/>
      </c>
    </row>
    <row r="425">
      <c r="A425" s="5" t="inlineStr">
        <is>
          <t>ANTAQ</t>
        </is>
      </c>
      <c r="B425" s="5" t="inlineStr">
        <is>
          <t>ARR_CAP.INI.I</t>
        </is>
      </c>
      <c r="C425" s="5" t="inlineStr">
        <is>
          <t>ARR_CAP</t>
        </is>
      </c>
      <c r="D425" s="5" t="n">
        <v>6</v>
      </c>
      <c r="E425" s="5" t="inlineStr">
        <is>
          <t>Inicial</t>
        </is>
      </c>
      <c r="F425" s="5" t="inlineStr">
        <is>
          <t>I</t>
        </is>
      </c>
      <c r="G425" s="5" t="inlineStr">
        <is>
          <t>Capacitações não estão institucionalizadas;</t>
        </is>
      </c>
      <c r="H425" s="6" t="n"/>
      <c r="I425" s="6" t="n"/>
      <c r="J425" s="6" t="n"/>
      <c r="K425" s="6" t="inlineStr">
        <is>
          <t>pendente</t>
        </is>
      </c>
      <c r="L425" s="6" t="n"/>
      <c r="M425" s="5">
        <f>IF(H425="SIM",1,0)</f>
        <v/>
      </c>
      <c r="N425" s="5">
        <f>IF(AND(H425="SIM",K425="validado",I425&lt;&gt;""),1,0)</f>
        <v/>
      </c>
    </row>
    <row r="426">
      <c r="A426" s="5" t="inlineStr">
        <is>
          <t>ANTAQ</t>
        </is>
      </c>
      <c r="B426" s="5" t="inlineStr">
        <is>
          <t>ARR_CAP.MC.II</t>
        </is>
      </c>
      <c r="C426" s="5" t="inlineStr">
        <is>
          <t>ARR_CAP</t>
        </is>
      </c>
      <c r="D426" s="5" t="n">
        <v>6</v>
      </c>
      <c r="E426" s="5" t="inlineStr">
        <is>
          <t>Melhoria Contínua</t>
        </is>
      </c>
      <c r="F426" s="5" t="inlineStr">
        <is>
          <t>II</t>
        </is>
      </c>
      <c r="G426" s="5" t="inlineStr">
        <is>
          <t>No mínimo, 75% dos servidores envolvidos em elaboração de regulação capacitados em ARR.</t>
        </is>
      </c>
      <c r="H426" s="6" t="n"/>
      <c r="I426" s="6" t="n"/>
      <c r="J426" s="6" t="n"/>
      <c r="K426" s="6" t="inlineStr">
        <is>
          <t>pendente</t>
        </is>
      </c>
      <c r="L426" s="6" t="n"/>
      <c r="M426" s="5">
        <f>IF(H426="SIM",1,0)</f>
        <v/>
      </c>
      <c r="N426" s="5">
        <f>IF(AND(H426="SIM",K426="validado",I426&lt;&gt;""),1,0)</f>
        <v/>
      </c>
    </row>
    <row r="427">
      <c r="A427" s="5" t="inlineStr">
        <is>
          <t>ANTAQ</t>
        </is>
      </c>
      <c r="B427" s="5" t="inlineStr">
        <is>
          <t>ARR_CAP.GER.II</t>
        </is>
      </c>
      <c r="C427" s="5" t="inlineStr">
        <is>
          <t>ARR_CAP</t>
        </is>
      </c>
      <c r="D427" s="5" t="n">
        <v>6</v>
      </c>
      <c r="E427" s="5" t="inlineStr">
        <is>
          <t>Gerenciado</t>
        </is>
      </c>
      <c r="F427" s="5" t="inlineStr">
        <is>
          <t>II</t>
        </is>
      </c>
      <c r="G427" s="5" t="inlineStr">
        <is>
          <t>de 50% a 74% dos servidores envolvidos em elaboração de regulação capacitados em ARR;</t>
        </is>
      </c>
      <c r="H427" s="6" t="n"/>
      <c r="I427" s="6" t="n"/>
      <c r="J427" s="6" t="n"/>
      <c r="K427" s="6" t="inlineStr">
        <is>
          <t>pendente</t>
        </is>
      </c>
      <c r="L427" s="6" t="n"/>
      <c r="M427" s="5">
        <f>IF(H427="SIM",1,0)</f>
        <v/>
      </c>
      <c r="N427" s="5">
        <f>IF(AND(H427="SIM",K427="validado",I427&lt;&gt;""),1,0)</f>
        <v/>
      </c>
    </row>
    <row r="428">
      <c r="A428" s="5" t="inlineStr">
        <is>
          <t>ANTAQ</t>
        </is>
      </c>
      <c r="B428" s="5" t="inlineStr">
        <is>
          <t>ARR_CAP.INI.II</t>
        </is>
      </c>
      <c r="C428" s="5" t="inlineStr">
        <is>
          <t>ARR_CAP</t>
        </is>
      </c>
      <c r="D428" s="5" t="n">
        <v>6</v>
      </c>
      <c r="E428" s="5" t="inlineStr">
        <is>
          <t>Inicial</t>
        </is>
      </c>
      <c r="F428" s="5" t="inlineStr">
        <is>
          <t>II</t>
        </is>
      </c>
      <c r="G428" s="5" t="inlineStr">
        <is>
          <t>de 25% a 49% dos servidores envolvidos em elaboração de regulação capacitados em ARR.</t>
        </is>
      </c>
      <c r="H428" s="6" t="n"/>
      <c r="I428" s="6" t="n"/>
      <c r="J428" s="6" t="n"/>
      <c r="K428" s="6" t="inlineStr">
        <is>
          <t>pendente</t>
        </is>
      </c>
      <c r="L428" s="6" t="n"/>
      <c r="M428" s="5">
        <f>IF(H428="SIM",1,0)</f>
        <v/>
      </c>
      <c r="N428" s="5">
        <f>IF(AND(H428="SIM",K428="validado",I428&lt;&gt;""),1,0)</f>
        <v/>
      </c>
    </row>
    <row r="429">
      <c r="A429" s="5" t="inlineStr">
        <is>
          <t>ANTAQ</t>
        </is>
      </c>
      <c r="B429" s="5" t="inlineStr">
        <is>
          <t>ARR_MET.MC.I</t>
        </is>
      </c>
      <c r="C429" s="5" t="inlineStr">
        <is>
          <t>ARR_MET</t>
        </is>
      </c>
      <c r="D429" s="5" t="n">
        <v>6</v>
      </c>
      <c r="E429" s="5" t="inlineStr">
        <is>
          <t>Melhoria Contínua</t>
        </is>
      </c>
      <c r="F429" s="5" t="inlineStr">
        <is>
          <t>I</t>
        </is>
      </c>
      <c r="G429" s="5" t="inlineStr">
        <is>
          <t>Metodologia de elaboração de ARR contempla a participação social, conforme complexidade do ato;</t>
        </is>
      </c>
      <c r="H429" s="6" t="n"/>
      <c r="I429" s="6" t="n"/>
      <c r="J429" s="6" t="n"/>
      <c r="K429" s="6" t="inlineStr">
        <is>
          <t>pendente</t>
        </is>
      </c>
      <c r="L429" s="6" t="n"/>
      <c r="M429" s="5">
        <f>IF(H429="SIM",1,0)</f>
        <v/>
      </c>
      <c r="N429" s="5">
        <f>IF(AND(H429="SIM",K429="validado",I429&lt;&gt;""),1,0)</f>
        <v/>
      </c>
    </row>
    <row r="430">
      <c r="A430" s="5" t="inlineStr">
        <is>
          <t>ANTAQ</t>
        </is>
      </c>
      <c r="B430" s="5" t="inlineStr">
        <is>
          <t>ARR_MET.GER.I</t>
        </is>
      </c>
      <c r="C430" s="5" t="inlineStr">
        <is>
          <t>ARR_MET</t>
        </is>
      </c>
      <c r="D430" s="5" t="n">
        <v>6</v>
      </c>
      <c r="E430" s="5" t="inlineStr">
        <is>
          <t>Gerenciado</t>
        </is>
      </c>
      <c r="F430" s="5" t="inlineStr">
        <is>
          <t>I</t>
        </is>
      </c>
      <c r="G430" s="5" t="inlineStr">
        <is>
          <t>Existência de manual ou ato normativo instituindo a aplicabilidade de ARR no órgão;</t>
        </is>
      </c>
      <c r="H430" s="6" t="n"/>
      <c r="I430" s="6" t="n"/>
      <c r="J430" s="6" t="n"/>
      <c r="K430" s="6" t="inlineStr">
        <is>
          <t>pendente</t>
        </is>
      </c>
      <c r="L430" s="6" t="n"/>
      <c r="M430" s="5">
        <f>IF(H430="SIM",1,0)</f>
        <v/>
      </c>
      <c r="N430" s="5">
        <f>IF(AND(H430="SIM",K430="validado",I430&lt;&gt;""),1,0)</f>
        <v/>
      </c>
    </row>
    <row r="431">
      <c r="A431" s="5" t="inlineStr">
        <is>
          <t>ANTAQ</t>
        </is>
      </c>
      <c r="B431" s="5" t="inlineStr">
        <is>
          <t>ARR_MET.INI.I</t>
        </is>
      </c>
      <c r="C431" s="5" t="inlineStr">
        <is>
          <t>ARR_MET</t>
        </is>
      </c>
      <c r="D431" s="5" t="n">
        <v>6</v>
      </c>
      <c r="E431" s="5" t="inlineStr">
        <is>
          <t>Inicial</t>
        </is>
      </c>
      <c r="F431" s="5" t="inlineStr">
        <is>
          <t>I</t>
        </is>
      </c>
      <c r="G431" s="5" t="inlineStr">
        <is>
          <t>existe Agenda de ARR, conforme determinado no Decreto nº 10.411, de 2020.</t>
        </is>
      </c>
      <c r="H431" s="6" t="n"/>
      <c r="I431" s="6" t="n"/>
      <c r="J431" s="6" t="n"/>
      <c r="K431" s="6" t="inlineStr">
        <is>
          <t>pendente</t>
        </is>
      </c>
      <c r="L431" s="6" t="n"/>
      <c r="M431" s="5">
        <f>IF(H431="SIM",1,0)</f>
        <v/>
      </c>
      <c r="N431" s="5">
        <f>IF(AND(H431="SIM",K431="validado",I431&lt;&gt;""),1,0)</f>
        <v/>
      </c>
    </row>
    <row r="432">
      <c r="A432" s="5" t="inlineStr">
        <is>
          <t>ANTAQ</t>
        </is>
      </c>
      <c r="B432" s="5" t="inlineStr">
        <is>
          <t>ARR_MET.MC.II</t>
        </is>
      </c>
      <c r="C432" s="5" t="inlineStr">
        <is>
          <t>ARR_MET</t>
        </is>
      </c>
      <c r="D432" s="5" t="n">
        <v>6</v>
      </c>
      <c r="E432" s="5" t="inlineStr">
        <is>
          <t>Melhoria Contínua</t>
        </is>
      </c>
      <c r="F432" s="5" t="inlineStr">
        <is>
          <t>II</t>
        </is>
      </c>
      <c r="G432" s="5" t="inlineStr">
        <is>
          <t>Existência de Agenda de ARR integrada com a Agenda Regulatória.</t>
        </is>
      </c>
      <c r="H432" s="6" t="n"/>
      <c r="I432" s="6" t="n"/>
      <c r="J432" s="6" t="n"/>
      <c r="K432" s="6" t="inlineStr">
        <is>
          <t>pendente</t>
        </is>
      </c>
      <c r="L432" s="6" t="n"/>
      <c r="M432" s="5">
        <f>IF(H432="SIM",1,0)</f>
        <v/>
      </c>
      <c r="N432" s="5">
        <f>IF(AND(H432="SIM",K432="validado",I432&lt;&gt;""),1,0)</f>
        <v/>
      </c>
    </row>
    <row r="433">
      <c r="A433" s="5" t="inlineStr">
        <is>
          <t>ANTAQ</t>
        </is>
      </c>
      <c r="B433" s="5" t="inlineStr">
        <is>
          <t>ARR_MET.GER.II</t>
        </is>
      </c>
      <c r="C433" s="5" t="inlineStr">
        <is>
          <t>ARR_MET</t>
        </is>
      </c>
      <c r="D433" s="5" t="n">
        <v>6</v>
      </c>
      <c r="E433" s="5" t="inlineStr">
        <is>
          <t>Gerenciado</t>
        </is>
      </c>
      <c r="F433" s="5" t="inlineStr">
        <is>
          <t>II</t>
        </is>
      </c>
      <c r="G433" s="5" t="inlineStr">
        <is>
          <t>Metodologia de elaboração da Agenda de ARR contempla participação social.</t>
        </is>
      </c>
      <c r="H433" s="6" t="n"/>
      <c r="I433" s="6" t="n"/>
      <c r="J433" s="6" t="n"/>
      <c r="K433" s="6" t="inlineStr">
        <is>
          <t>pendente</t>
        </is>
      </c>
      <c r="L433" s="6" t="n"/>
      <c r="M433" s="5">
        <f>IF(H433="SIM",1,0)</f>
        <v/>
      </c>
      <c r="N433" s="5">
        <f>IF(AND(H433="SIM",K433="validado",I433&lt;&gt;""),1,0)</f>
        <v/>
      </c>
    </row>
    <row r="434">
      <c r="A434" s="5" t="inlineStr">
        <is>
          <t>ANTAQ</t>
        </is>
      </c>
      <c r="B434" s="5" t="inlineStr">
        <is>
          <t>ARR_PRO.MC.I</t>
        </is>
      </c>
      <c r="C434" s="5" t="inlineStr">
        <is>
          <t>ARR_PRO</t>
        </is>
      </c>
      <c r="D434" s="5" t="n">
        <v>6</v>
      </c>
      <c r="E434" s="5" t="inlineStr">
        <is>
          <t>Melhoria Contínua</t>
        </is>
      </c>
      <c r="F434" s="5" t="inlineStr">
        <is>
          <t>I</t>
        </is>
      </c>
      <c r="G434" s="5" t="inlineStr">
        <is>
          <t>Há processo contínuo de avaliação e melhoria do processo de elaboração de ARR;</t>
        </is>
      </c>
      <c r="H434" s="6" t="n"/>
      <c r="I434" s="6" t="n"/>
      <c r="J434" s="6" t="n"/>
      <c r="K434" s="6" t="inlineStr">
        <is>
          <t>pendente</t>
        </is>
      </c>
      <c r="L434" s="6" t="n"/>
      <c r="M434" s="5">
        <f>IF(H434="SIM",1,0)</f>
        <v/>
      </c>
      <c r="N434" s="5">
        <f>IF(AND(H434="SIM",K434="validado",I434&lt;&gt;""),1,0)</f>
        <v/>
      </c>
    </row>
    <row r="435">
      <c r="A435" s="5" t="inlineStr">
        <is>
          <t>ANTAQ</t>
        </is>
      </c>
      <c r="B435" s="5" t="inlineStr">
        <is>
          <t>ARR_PRO.GER.I</t>
        </is>
      </c>
      <c r="C435" s="5" t="inlineStr">
        <is>
          <t>ARR_PRO</t>
        </is>
      </c>
      <c r="D435" s="5" t="n">
        <v>6</v>
      </c>
      <c r="E435" s="5" t="inlineStr">
        <is>
          <t>Gerenciado</t>
        </is>
      </c>
      <c r="F435" s="5" t="inlineStr">
        <is>
          <t>I</t>
        </is>
      </c>
      <c r="G435" s="5" t="inlineStr">
        <is>
          <t>ARR é realizada conforme manual ou ato normativo;</t>
        </is>
      </c>
      <c r="H435" s="6" t="n"/>
      <c r="I435" s="6" t="n"/>
      <c r="J435" s="6" t="n"/>
      <c r="K435" s="6" t="inlineStr">
        <is>
          <t>pendente</t>
        </is>
      </c>
      <c r="L435" s="6" t="n"/>
      <c r="M435" s="5">
        <f>IF(H435="SIM",1,0)</f>
        <v/>
      </c>
      <c r="N435" s="5">
        <f>IF(AND(H435="SIM",K435="validado",I435&lt;&gt;""),1,0)</f>
        <v/>
      </c>
    </row>
    <row r="436">
      <c r="A436" s="5" t="inlineStr">
        <is>
          <t>ANTAQ</t>
        </is>
      </c>
      <c r="B436" s="5" t="inlineStr">
        <is>
          <t>ARR_PRO.INI.I</t>
        </is>
      </c>
      <c r="C436" s="5" t="inlineStr">
        <is>
          <t>ARR_PRO</t>
        </is>
      </c>
      <c r="D436" s="5" t="n">
        <v>6</v>
      </c>
      <c r="E436" s="5" t="inlineStr">
        <is>
          <t>Inicial</t>
        </is>
      </c>
      <c r="F436" s="5" t="inlineStr">
        <is>
          <t>I</t>
        </is>
      </c>
      <c r="G436" s="5" t="inlineStr">
        <is>
          <t>Todas as ARRs são publicadas e acessíveis ao público na internet;</t>
        </is>
      </c>
      <c r="H436" s="6" t="n"/>
      <c r="I436" s="6" t="n"/>
      <c r="J436" s="6" t="n"/>
      <c r="K436" s="6" t="inlineStr">
        <is>
          <t>pendente</t>
        </is>
      </c>
      <c r="L436" s="6" t="n"/>
      <c r="M436" s="5">
        <f>IF(H436="SIM",1,0)</f>
        <v/>
      </c>
      <c r="N436" s="5">
        <f>IF(AND(H436="SIM",K436="validado",I436&lt;&gt;""),1,0)</f>
        <v/>
      </c>
    </row>
    <row r="437">
      <c r="A437" s="5" t="inlineStr">
        <is>
          <t>ANTAQ</t>
        </is>
      </c>
      <c r="B437" s="5" t="inlineStr">
        <is>
          <t>ARR_PRO.MC.II</t>
        </is>
      </c>
      <c r="C437" s="5" t="inlineStr">
        <is>
          <t>ARR_PRO</t>
        </is>
      </c>
      <c r="D437" s="5" t="n">
        <v>6</v>
      </c>
      <c r="E437" s="5" t="inlineStr">
        <is>
          <t>Melhoria Contínua</t>
        </is>
      </c>
      <c r="F437" s="5" t="inlineStr">
        <is>
          <t>II</t>
        </is>
      </c>
      <c r="G437" s="5" t="inlineStr">
        <is>
          <t>A execução da Agenda de ARR é periodicamente monitorada e divulgada.</t>
        </is>
      </c>
      <c r="H437" s="6" t="n"/>
      <c r="I437" s="6" t="n"/>
      <c r="J437" s="6" t="n"/>
      <c r="K437" s="6" t="inlineStr">
        <is>
          <t>pendente</t>
        </is>
      </c>
      <c r="L437" s="6" t="n"/>
      <c r="M437" s="5">
        <f>IF(H437="SIM",1,0)</f>
        <v/>
      </c>
      <c r="N437" s="5">
        <f>IF(AND(H437="SIM",K437="validado",I437&lt;&gt;""),1,0)</f>
        <v/>
      </c>
    </row>
    <row r="438">
      <c r="A438" s="5" t="inlineStr">
        <is>
          <t>ANTAQ</t>
        </is>
      </c>
      <c r="B438" s="5" t="inlineStr">
        <is>
          <t>ARR_PRO.GER.II</t>
        </is>
      </c>
      <c r="C438" s="5" t="inlineStr">
        <is>
          <t>ARR_PRO</t>
        </is>
      </c>
      <c r="D438" s="5" t="n">
        <v>6</v>
      </c>
      <c r="E438" s="5" t="inlineStr">
        <is>
          <t>Gerenciado</t>
        </is>
      </c>
      <c r="F438" s="5" t="inlineStr">
        <is>
          <t>II</t>
        </is>
      </c>
      <c r="G438" s="5" t="inlineStr">
        <is>
          <t>ARRs de alto impacto/alta complexidade foram submetidas à participação social.</t>
        </is>
      </c>
      <c r="H438" s="6" t="n"/>
      <c r="I438" s="6" t="n"/>
      <c r="J438" s="6" t="n"/>
      <c r="K438" s="6" t="inlineStr">
        <is>
          <t>pendente</t>
        </is>
      </c>
      <c r="L438" s="6" t="n"/>
      <c r="M438" s="5">
        <f>IF(H438="SIM",1,0)</f>
        <v/>
      </c>
      <c r="N438" s="5">
        <f>IF(AND(H438="SIM",K438="validado",I438&lt;&gt;""),1,0)</f>
        <v/>
      </c>
    </row>
    <row r="439">
      <c r="A439" s="5" t="inlineStr">
        <is>
          <t>ANTAQ</t>
        </is>
      </c>
      <c r="B439" s="5" t="inlineStr">
        <is>
          <t>ARR_PRO.INI.II</t>
        </is>
      </c>
      <c r="C439" s="5" t="inlineStr">
        <is>
          <t>ARR_PRO</t>
        </is>
      </c>
      <c r="D439" s="5" t="n">
        <v>6</v>
      </c>
      <c r="E439" s="5" t="inlineStr">
        <is>
          <t>Inicial</t>
        </is>
      </c>
      <c r="F439" s="5" t="inlineStr">
        <is>
          <t>II</t>
        </is>
      </c>
      <c r="G439" s="5" t="inlineStr">
        <is>
          <t>A agenda de ARR está publicada no site do órgão.</t>
        </is>
      </c>
      <c r="H439" s="6" t="n"/>
      <c r="I439" s="6" t="n"/>
      <c r="J439" s="6" t="n"/>
      <c r="K439" s="6" t="inlineStr">
        <is>
          <t>pendente</t>
        </is>
      </c>
      <c r="L439" s="6" t="n"/>
      <c r="M439" s="5">
        <f>IF(H439="SIM",1,0)</f>
        <v/>
      </c>
      <c r="N439" s="5">
        <f>IF(AND(H439="SIM",K439="validado",I439&lt;&gt;""),1,0)</f>
        <v/>
      </c>
    </row>
    <row r="440">
      <c r="A440" s="5" t="inlineStr">
        <is>
          <t>ANP</t>
        </is>
      </c>
      <c r="B440" s="5" t="inlineStr">
        <is>
          <t>AIR_CAP.MC.I</t>
        </is>
      </c>
      <c r="C440" s="5" t="inlineStr">
        <is>
          <t>AIR_CAP</t>
        </is>
      </c>
      <c r="D440" s="5" t="n">
        <v>1</v>
      </c>
      <c r="E440" s="5" t="inlineStr">
        <is>
          <t>Melhoria Contínua</t>
        </is>
      </c>
      <c r="F440" s="5" t="inlineStr">
        <is>
          <t>I</t>
        </is>
      </c>
      <c r="G440" s="5" t="inlineStr">
        <is>
          <t>Plano de capacitação formalizado e em execução, incluindo permanente reciclagem em técnicas de AIR;</t>
        </is>
      </c>
      <c r="H440" s="6" t="n"/>
      <c r="I440" s="6" t="n"/>
      <c r="J440" s="6" t="n"/>
      <c r="K440" s="6" t="inlineStr">
        <is>
          <t>pendente</t>
        </is>
      </c>
      <c r="L440" s="6" t="n"/>
      <c r="M440" s="5">
        <f>IF(H440="SIM",1,0)</f>
        <v/>
      </c>
      <c r="N440" s="5">
        <f>IF(AND(H440="SIM",K440="validado",I440&lt;&gt;""),1,0)</f>
        <v/>
      </c>
    </row>
    <row r="441">
      <c r="A441" s="5" t="inlineStr">
        <is>
          <t>ANP</t>
        </is>
      </c>
      <c r="B441" s="5" t="inlineStr">
        <is>
          <t>AIR_CAP.GER.I</t>
        </is>
      </c>
      <c r="C441" s="5" t="inlineStr">
        <is>
          <t>AIR_CAP</t>
        </is>
      </c>
      <c r="D441" s="5" t="n">
        <v>1</v>
      </c>
      <c r="E441" s="5" t="inlineStr">
        <is>
          <t>Gerenciado</t>
        </is>
      </c>
      <c r="F441" s="5" t="inlineStr">
        <is>
          <t>I</t>
        </is>
      </c>
      <c r="G441" s="5" t="inlineStr">
        <is>
          <t>Capacitações em AIR estão institucionalizadas, sem um plano formalizado;</t>
        </is>
      </c>
      <c r="H441" s="6" t="n"/>
      <c r="I441" s="6" t="n"/>
      <c r="J441" s="6" t="n"/>
      <c r="K441" s="6" t="inlineStr">
        <is>
          <t>pendente</t>
        </is>
      </c>
      <c r="L441" s="6" t="n"/>
      <c r="M441" s="5">
        <f>IF(H441="SIM",1,0)</f>
        <v/>
      </c>
      <c r="N441" s="5">
        <f>IF(AND(H441="SIM",K441="validado",I441&lt;&gt;""),1,0)</f>
        <v/>
      </c>
    </row>
    <row r="442">
      <c r="A442" s="5" t="inlineStr">
        <is>
          <t>ANP</t>
        </is>
      </c>
      <c r="B442" s="5" t="inlineStr">
        <is>
          <t>AIR_CAP.INI.I</t>
        </is>
      </c>
      <c r="C442" s="5" t="inlineStr">
        <is>
          <t>AIR_CAP</t>
        </is>
      </c>
      <c r="D442" s="5" t="n">
        <v>1</v>
      </c>
      <c r="E442" s="5" t="inlineStr">
        <is>
          <t>Inicial</t>
        </is>
      </c>
      <c r="F442" s="5" t="inlineStr">
        <is>
          <t>I</t>
        </is>
      </c>
      <c r="G442" s="5" t="inlineStr">
        <is>
          <t>Capacitações em AIR não estão institucionalizadas;</t>
        </is>
      </c>
      <c r="H442" s="6" t="n"/>
      <c r="I442" s="6" t="n"/>
      <c r="J442" s="6" t="n"/>
      <c r="K442" s="6" t="inlineStr">
        <is>
          <t>pendente</t>
        </is>
      </c>
      <c r="L442" s="6" t="n"/>
      <c r="M442" s="5">
        <f>IF(H442="SIM",1,0)</f>
        <v/>
      </c>
      <c r="N442" s="5">
        <f>IF(AND(H442="SIM",K442="validado",I442&lt;&gt;""),1,0)</f>
        <v/>
      </c>
    </row>
    <row r="443">
      <c r="A443" s="5" t="inlineStr">
        <is>
          <t>ANP</t>
        </is>
      </c>
      <c r="B443" s="5" t="inlineStr">
        <is>
          <t>AIR_CAP.MC.II</t>
        </is>
      </c>
      <c r="C443" s="5" t="inlineStr">
        <is>
          <t>AIR_CAP</t>
        </is>
      </c>
      <c r="D443" s="5" t="n">
        <v>1</v>
      </c>
      <c r="E443" s="5" t="inlineStr">
        <is>
          <t>Melhoria Contínua</t>
        </is>
      </c>
      <c r="F443" s="5" t="inlineStr">
        <is>
          <t>II</t>
        </is>
      </c>
      <c r="G443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443" s="6" t="n"/>
      <c r="I443" s="6" t="n"/>
      <c r="J443" s="6" t="n"/>
      <c r="K443" s="6" t="inlineStr">
        <is>
          <t>pendente</t>
        </is>
      </c>
      <c r="L443" s="6" t="n"/>
      <c r="M443" s="5">
        <f>IF(H443="SIM",1,0)</f>
        <v/>
      </c>
      <c r="N443" s="5">
        <f>IF(AND(H443="SIM",K443="validado",I443&lt;&gt;""),1,0)</f>
        <v/>
      </c>
    </row>
    <row r="444">
      <c r="A444" s="5" t="inlineStr">
        <is>
          <t>ANP</t>
        </is>
      </c>
      <c r="B444" s="5" t="inlineStr">
        <is>
          <t>AIR_CAP.GER.II</t>
        </is>
      </c>
      <c r="C444" s="5" t="inlineStr">
        <is>
          <t>AIR_CAP</t>
        </is>
      </c>
      <c r="D444" s="5" t="n">
        <v>1</v>
      </c>
      <c r="E444" s="5" t="inlineStr">
        <is>
          <t>Gerenciado</t>
        </is>
      </c>
      <c r="F444" s="5" t="inlineStr">
        <is>
          <t>II</t>
        </is>
      </c>
      <c r="G444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444" s="6" t="n"/>
      <c r="I444" s="6" t="n"/>
      <c r="J444" s="6" t="n"/>
      <c r="K444" s="6" t="inlineStr">
        <is>
          <t>pendente</t>
        </is>
      </c>
      <c r="L444" s="6" t="n"/>
      <c r="M444" s="5">
        <f>IF(H444="SIM",1,0)</f>
        <v/>
      </c>
      <c r="N444" s="5">
        <f>IF(AND(H444="SIM",K444="validado",I444&lt;&gt;""),1,0)</f>
        <v/>
      </c>
    </row>
    <row r="445">
      <c r="A445" s="5" t="inlineStr">
        <is>
          <t>ANP</t>
        </is>
      </c>
      <c r="B445" s="5" t="inlineStr">
        <is>
          <t>AIR_CAP.INI.II</t>
        </is>
      </c>
      <c r="C445" s="5" t="inlineStr">
        <is>
          <t>AIR_CAP</t>
        </is>
      </c>
      <c r="D445" s="5" t="n">
        <v>1</v>
      </c>
      <c r="E445" s="5" t="inlineStr">
        <is>
          <t>Inicial</t>
        </is>
      </c>
      <c r="F445" s="5" t="inlineStr">
        <is>
          <t>II</t>
        </is>
      </c>
      <c r="G445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445" s="6" t="n"/>
      <c r="I445" s="6" t="n"/>
      <c r="J445" s="6" t="n"/>
      <c r="K445" s="6" t="inlineStr">
        <is>
          <t>pendente</t>
        </is>
      </c>
      <c r="L445" s="6" t="n"/>
      <c r="M445" s="5">
        <f>IF(H445="SIM",1,0)</f>
        <v/>
      </c>
      <c r="N445" s="5">
        <f>IF(AND(H445="SIM",K445="validado",I445&lt;&gt;""),1,0)</f>
        <v/>
      </c>
    </row>
    <row r="446">
      <c r="A446" s="5" t="inlineStr">
        <is>
          <t>ANP</t>
        </is>
      </c>
      <c r="B446" s="5" t="inlineStr">
        <is>
          <t>AIR_CAP.MC.III</t>
        </is>
      </c>
      <c r="C446" s="5" t="inlineStr">
        <is>
          <t>AIR_CAP</t>
        </is>
      </c>
      <c r="D446" s="5" t="n">
        <v>1</v>
      </c>
      <c r="E446" s="5" t="inlineStr">
        <is>
          <t>Melhoria Contínua</t>
        </is>
      </c>
      <c r="F446" s="5" t="inlineStr">
        <is>
          <t>III</t>
        </is>
      </c>
      <c r="G446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446" s="6" t="n"/>
      <c r="I446" s="6" t="n"/>
      <c r="J446" s="6" t="n"/>
      <c r="K446" s="6" t="inlineStr">
        <is>
          <t>pendente</t>
        </is>
      </c>
      <c r="L446" s="6" t="n"/>
      <c r="M446" s="5">
        <f>IF(H446="SIM",1,0)</f>
        <v/>
      </c>
      <c r="N446" s="5">
        <f>IF(AND(H446="SIM",K446="validado",I446&lt;&gt;""),1,0)</f>
        <v/>
      </c>
    </row>
    <row r="447">
      <c r="A447" s="5" t="inlineStr">
        <is>
          <t>ANP</t>
        </is>
      </c>
      <c r="B447" s="5" t="inlineStr">
        <is>
          <t>AIR_CAP.GER.III</t>
        </is>
      </c>
      <c r="C447" s="5" t="inlineStr">
        <is>
          <t>AIR_CAP</t>
        </is>
      </c>
      <c r="D447" s="5" t="n">
        <v>1</v>
      </c>
      <c r="E447" s="5" t="inlineStr">
        <is>
          <t>Gerenciado</t>
        </is>
      </c>
      <c r="F447" s="5" t="inlineStr">
        <is>
          <t>III</t>
        </is>
      </c>
      <c r="G447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447" s="6" t="n"/>
      <c r="I447" s="6" t="n"/>
      <c r="J447" s="6" t="n"/>
      <c r="K447" s="6" t="inlineStr">
        <is>
          <t>pendente</t>
        </is>
      </c>
      <c r="L447" s="6" t="n"/>
      <c r="M447" s="5">
        <f>IF(H447="SIM",1,0)</f>
        <v/>
      </c>
      <c r="N447" s="5">
        <f>IF(AND(H447="SIM",K447="validado",I447&lt;&gt;""),1,0)</f>
        <v/>
      </c>
    </row>
    <row r="448">
      <c r="A448" s="5" t="inlineStr">
        <is>
          <t>ANP</t>
        </is>
      </c>
      <c r="B448" s="5" t="inlineStr">
        <is>
          <t>AIR_CAP.INI.III</t>
        </is>
      </c>
      <c r="C448" s="5" t="inlineStr">
        <is>
          <t>AIR_CAP</t>
        </is>
      </c>
      <c r="D448" s="5" t="n">
        <v>1</v>
      </c>
      <c r="E448" s="5" t="inlineStr">
        <is>
          <t>Inicial</t>
        </is>
      </c>
      <c r="F448" s="5" t="inlineStr">
        <is>
          <t>III</t>
        </is>
      </c>
      <c r="G448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448" s="6" t="n"/>
      <c r="I448" s="6" t="n"/>
      <c r="J448" s="6" t="n"/>
      <c r="K448" s="6" t="inlineStr">
        <is>
          <t>pendente</t>
        </is>
      </c>
      <c r="L448" s="6" t="n"/>
      <c r="M448" s="5">
        <f>IF(H448="SIM",1,0)</f>
        <v/>
      </c>
      <c r="N448" s="5">
        <f>IF(AND(H448="SIM",K448="validado",I448&lt;&gt;""),1,0)</f>
        <v/>
      </c>
    </row>
    <row r="449">
      <c r="A449" s="5" t="inlineStr">
        <is>
          <t>ANP</t>
        </is>
      </c>
      <c r="B449" s="5" t="inlineStr">
        <is>
          <t>AIR_CAP.GER.IV</t>
        </is>
      </c>
      <c r="C449" s="5" t="inlineStr">
        <is>
          <t>AIR_CAP</t>
        </is>
      </c>
      <c r="D449" s="5" t="n">
        <v>1</v>
      </c>
      <c r="E449" s="5" t="inlineStr">
        <is>
          <t>Gerenciado</t>
        </is>
      </c>
      <c r="F449" s="5" t="inlineStr">
        <is>
          <t>IV</t>
        </is>
      </c>
      <c r="G449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449" s="6" t="n"/>
      <c r="I449" s="6" t="n"/>
      <c r="J449" s="6" t="n"/>
      <c r="K449" s="6" t="inlineStr">
        <is>
          <t>pendente</t>
        </is>
      </c>
      <c r="L449" s="6" t="n"/>
      <c r="M449" s="5">
        <f>IF(H449="SIM",1,0)</f>
        <v/>
      </c>
      <c r="N449" s="5">
        <f>IF(AND(H449="SIM",K449="validado",I449&lt;&gt;""),1,0)</f>
        <v/>
      </c>
    </row>
    <row r="450">
      <c r="A450" s="5" t="inlineStr">
        <is>
          <t>ANP</t>
        </is>
      </c>
      <c r="B450" s="5" t="inlineStr">
        <is>
          <t>AIR_MET.MC.I</t>
        </is>
      </c>
      <c r="C450" s="5" t="inlineStr">
        <is>
          <t>AIR_MET</t>
        </is>
      </c>
      <c r="D450" s="5" t="n">
        <v>1</v>
      </c>
      <c r="E450" s="5" t="inlineStr">
        <is>
          <t>Melhoria Contínua</t>
        </is>
      </c>
      <c r="F450" s="5" t="inlineStr">
        <is>
          <t>I</t>
        </is>
      </c>
      <c r="G450" s="5" t="inlineStr">
        <is>
          <t>Critérios objetivos estabelecidos para classificação quanto ao nível de impacto e complexidade da AIR;</t>
        </is>
      </c>
      <c r="H450" s="6" t="n"/>
      <c r="I450" s="6" t="n"/>
      <c r="J450" s="6" t="n"/>
      <c r="K450" s="6" t="inlineStr">
        <is>
          <t>pendente</t>
        </is>
      </c>
      <c r="L450" s="6" t="n"/>
      <c r="M450" s="5">
        <f>IF(H450="SIM",1,0)</f>
        <v/>
      </c>
      <c r="N450" s="5">
        <f>IF(AND(H450="SIM",K450="validado",I450&lt;&gt;""),1,0)</f>
        <v/>
      </c>
    </row>
    <row r="451">
      <c r="A451" s="5" t="inlineStr">
        <is>
          <t>ANP</t>
        </is>
      </c>
      <c r="B451" s="5" t="inlineStr">
        <is>
          <t>AIR_MET.GER.I</t>
        </is>
      </c>
      <c r="C451" s="5" t="inlineStr">
        <is>
          <t>AIR_MET</t>
        </is>
      </c>
      <c r="D451" s="5" t="n">
        <v>1</v>
      </c>
      <c r="E451" s="5" t="inlineStr">
        <is>
          <t>Gerenciado</t>
        </is>
      </c>
      <c r="F451" s="5" t="inlineStr">
        <is>
          <t>I</t>
        </is>
      </c>
      <c r="G451" s="5" t="inlineStr">
        <is>
          <t>Existência de manual ou ato normativo interno instituindo a aplicabilidade institucional da AIR;</t>
        </is>
      </c>
      <c r="H451" s="6" t="n"/>
      <c r="I451" s="6" t="n"/>
      <c r="J451" s="6" t="n"/>
      <c r="K451" s="6" t="inlineStr">
        <is>
          <t>pendente</t>
        </is>
      </c>
      <c r="L451" s="6" t="n"/>
      <c r="M451" s="5">
        <f>IF(H451="SIM",1,0)</f>
        <v/>
      </c>
      <c r="N451" s="5">
        <f>IF(AND(H451="SIM",K451="validado",I451&lt;&gt;""),1,0)</f>
        <v/>
      </c>
    </row>
    <row r="452">
      <c r="A452" s="5" t="inlineStr">
        <is>
          <t>ANP</t>
        </is>
      </c>
      <c r="B452" s="5" t="inlineStr">
        <is>
          <t>AIR_MET.INI.I</t>
        </is>
      </c>
      <c r="C452" s="5" t="inlineStr">
        <is>
          <t>AIR_MET</t>
        </is>
      </c>
      <c r="D452" s="5" t="n">
        <v>1</v>
      </c>
      <c r="E452" s="5" t="inlineStr">
        <is>
          <t>Inicial</t>
        </is>
      </c>
      <c r="F452" s="5" t="inlineStr">
        <is>
          <t>I</t>
        </is>
      </c>
      <c r="G452" s="5" t="inlineStr">
        <is>
          <t>houve a publicação de normativo interno dispondo sobre a aplicação da AIR na instituição, conforme Decreto nº 10.411, de 2020.</t>
        </is>
      </c>
      <c r="H452" s="6" t="n"/>
      <c r="I452" s="6" t="n"/>
      <c r="J452" s="6" t="n"/>
      <c r="K452" s="6" t="inlineStr">
        <is>
          <t>pendente</t>
        </is>
      </c>
      <c r="L452" s="6" t="n"/>
      <c r="M452" s="5">
        <f>IF(H452="SIM",1,0)</f>
        <v/>
      </c>
      <c r="N452" s="5">
        <f>IF(AND(H452="SIM",K452="validado",I452&lt;&gt;""),1,0)</f>
        <v/>
      </c>
    </row>
    <row r="453">
      <c r="A453" s="5" t="inlineStr">
        <is>
          <t>ANP</t>
        </is>
      </c>
      <c r="B453" s="5" t="inlineStr">
        <is>
          <t>AIR_MET.MC.II</t>
        </is>
      </c>
      <c r="C453" s="5" t="inlineStr">
        <is>
          <t>AIR_MET</t>
        </is>
      </c>
      <c r="D453" s="5" t="n">
        <v>1</v>
      </c>
      <c r="E453" s="5" t="inlineStr">
        <is>
          <t>Melhoria Contínua</t>
        </is>
      </c>
      <c r="F453" s="5" t="inlineStr">
        <is>
          <t>II</t>
        </is>
      </c>
      <c r="G453" s="5" t="inlineStr">
        <is>
          <t>Metodologia contempla participação social prévia e posterior à elaboração da AIR, conforme complexidade do ato.</t>
        </is>
      </c>
      <c r="H453" s="6" t="n"/>
      <c r="I453" s="6" t="n"/>
      <c r="J453" s="6" t="n"/>
      <c r="K453" s="6" t="inlineStr">
        <is>
          <t>pendente</t>
        </is>
      </c>
      <c r="L453" s="6" t="n"/>
      <c r="M453" s="5">
        <f>IF(H453="SIM",1,0)</f>
        <v/>
      </c>
      <c r="N453" s="5">
        <f>IF(AND(H453="SIM",K453="validado",I453&lt;&gt;""),1,0)</f>
        <v/>
      </c>
    </row>
    <row r="454">
      <c r="A454" s="5" t="inlineStr">
        <is>
          <t>ANP</t>
        </is>
      </c>
      <c r="B454" s="5" t="inlineStr">
        <is>
          <t>AIR_MET.GER.II</t>
        </is>
      </c>
      <c r="C454" s="5" t="inlineStr">
        <is>
          <t>AIR_MET</t>
        </is>
      </c>
      <c r="D454" s="5" t="n">
        <v>1</v>
      </c>
      <c r="E454" s="5" t="inlineStr">
        <is>
          <t>Gerenciado</t>
        </is>
      </c>
      <c r="F454" s="5" t="inlineStr">
        <is>
          <t>II</t>
        </is>
      </c>
      <c r="G454" s="5" t="inlineStr">
        <is>
          <t>Existência de manual ou ato normativo dispondo sobre a participação social posterior relativa à AIR.</t>
        </is>
      </c>
      <c r="H454" s="6" t="n"/>
      <c r="I454" s="6" t="n"/>
      <c r="J454" s="6" t="n"/>
      <c r="K454" s="6" t="inlineStr">
        <is>
          <t>pendente</t>
        </is>
      </c>
      <c r="L454" s="6" t="n"/>
      <c r="M454" s="5">
        <f>IF(H454="SIM",1,0)</f>
        <v/>
      </c>
      <c r="N454" s="5">
        <f>IF(AND(H454="SIM",K454="validado",I454&lt;&gt;""),1,0)</f>
        <v/>
      </c>
    </row>
    <row r="455">
      <c r="A455" s="5" t="inlineStr">
        <is>
          <t>ANP</t>
        </is>
      </c>
      <c r="B455" s="5" t="inlineStr">
        <is>
          <t>AIR_PRO.MC.I</t>
        </is>
      </c>
      <c r="C455" s="5" t="inlineStr">
        <is>
          <t>AIR_PRO</t>
        </is>
      </c>
      <c r="D455" s="5" t="n">
        <v>1</v>
      </c>
      <c r="E455" s="5" t="inlineStr">
        <is>
          <t>Melhoria Contínua</t>
        </is>
      </c>
      <c r="F455" s="5" t="inlineStr">
        <is>
          <t>I</t>
        </is>
      </c>
      <c r="G455" s="5" t="inlineStr">
        <is>
          <t>Há processo contínuo de avaliação e melhoria do processo de elaboração de AIR;</t>
        </is>
      </c>
      <c r="H455" s="6" t="n"/>
      <c r="I455" s="6" t="n"/>
      <c r="J455" s="6" t="n"/>
      <c r="K455" s="6" t="inlineStr">
        <is>
          <t>pendente</t>
        </is>
      </c>
      <c r="L455" s="6" t="n"/>
      <c r="M455" s="5">
        <f>IF(H455="SIM",1,0)</f>
        <v/>
      </c>
      <c r="N455" s="5">
        <f>IF(AND(H455="SIM",K455="validado",I455&lt;&gt;""),1,0)</f>
        <v/>
      </c>
    </row>
    <row r="456">
      <c r="A456" s="5" t="inlineStr">
        <is>
          <t>ANP</t>
        </is>
      </c>
      <c r="B456" s="5" t="inlineStr">
        <is>
          <t>AIR_PRO.GER.I</t>
        </is>
      </c>
      <c r="C456" s="5" t="inlineStr">
        <is>
          <t>AIR_PRO</t>
        </is>
      </c>
      <c r="D456" s="5" t="n">
        <v>1</v>
      </c>
      <c r="E456" s="5" t="inlineStr">
        <is>
          <t>Gerenciado</t>
        </is>
      </c>
      <c r="F456" s="5" t="inlineStr">
        <is>
          <t>I</t>
        </is>
      </c>
      <c r="G456" s="5" t="inlineStr">
        <is>
          <t>Todas as AIRs são sempre realizadas conforme manual ou ato normativo interno e publicadas e acessíveis ao público na internet;</t>
        </is>
      </c>
      <c r="H456" s="6" t="n"/>
      <c r="I456" s="6" t="n"/>
      <c r="J456" s="6" t="n"/>
      <c r="K456" s="6" t="inlineStr">
        <is>
          <t>pendente</t>
        </is>
      </c>
      <c r="L456" s="6" t="n"/>
      <c r="M456" s="5">
        <f>IF(H456="SIM",1,0)</f>
        <v/>
      </c>
      <c r="N456" s="5">
        <f>IF(AND(H456="SIM",K456="validado",I456&lt;&gt;""),1,0)</f>
        <v/>
      </c>
    </row>
    <row r="457">
      <c r="A457" s="5" t="inlineStr">
        <is>
          <t>ANP</t>
        </is>
      </c>
      <c r="B457" s="5" t="inlineStr">
        <is>
          <t>AIR_PRO.INI.I</t>
        </is>
      </c>
      <c r="C457" s="5" t="inlineStr">
        <is>
          <t>AIR_PRO</t>
        </is>
      </c>
      <c r="D457" s="5" t="n">
        <v>1</v>
      </c>
      <c r="E457" s="5" t="inlineStr">
        <is>
          <t>Inicial</t>
        </is>
      </c>
      <c r="F457" s="5" t="inlineStr">
        <is>
          <t>I</t>
        </is>
      </c>
      <c r="G457" s="5" t="inlineStr">
        <is>
          <t>AIR é sempre realizada e a dispensa justificada, conforme critérios objetivos estabelecidos, conforme Decreto nº 10.411, de 2020;</t>
        </is>
      </c>
      <c r="H457" s="6" t="n"/>
      <c r="I457" s="6" t="n"/>
      <c r="J457" s="6" t="n"/>
      <c r="K457" s="6" t="inlineStr">
        <is>
          <t>pendente</t>
        </is>
      </c>
      <c r="L457" s="6" t="n"/>
      <c r="M457" s="5">
        <f>IF(H457="SIM",1,0)</f>
        <v/>
      </c>
      <c r="N457" s="5">
        <f>IF(AND(H457="SIM",K457="validado",I457&lt;&gt;""),1,0)</f>
        <v/>
      </c>
    </row>
    <row r="458">
      <c r="A458" s="5" t="inlineStr">
        <is>
          <t>ANP</t>
        </is>
      </c>
      <c r="B458" s="5" t="inlineStr">
        <is>
          <t>AIR_PRO.MC.II</t>
        </is>
      </c>
      <c r="C458" s="5" t="inlineStr">
        <is>
          <t>AIR_PRO</t>
        </is>
      </c>
      <c r="D458" s="5" t="n">
        <v>1</v>
      </c>
      <c r="E458" s="5" t="inlineStr">
        <is>
          <t>Melhoria Contínua</t>
        </is>
      </c>
      <c r="F458" s="5" t="inlineStr">
        <is>
          <t>II</t>
        </is>
      </c>
      <c r="G458" s="5" t="inlineStr">
        <is>
          <t>Existência de instrumento de avaliação de qualidade das AIRs realizadas;</t>
        </is>
      </c>
      <c r="H458" s="6" t="n"/>
      <c r="I458" s="6" t="n"/>
      <c r="J458" s="6" t="n"/>
      <c r="K458" s="6" t="inlineStr">
        <is>
          <t>pendente</t>
        </is>
      </c>
      <c r="L458" s="6" t="n"/>
      <c r="M458" s="5">
        <f>IF(H458="SIM",1,0)</f>
        <v/>
      </c>
      <c r="N458" s="5">
        <f>IF(AND(H458="SIM",K458="validado",I458&lt;&gt;""),1,0)</f>
        <v/>
      </c>
    </row>
    <row r="459">
      <c r="A459" s="5" t="inlineStr">
        <is>
          <t>ANP</t>
        </is>
      </c>
      <c r="B459" s="5" t="inlineStr">
        <is>
          <t>AIR_PRO.GER.II</t>
        </is>
      </c>
      <c r="C459" s="5" t="inlineStr">
        <is>
          <t>AIR_PRO</t>
        </is>
      </c>
      <c r="D459" s="5" t="n">
        <v>1</v>
      </c>
      <c r="E459" s="5" t="inlineStr">
        <is>
          <t>Gerenciado</t>
        </is>
      </c>
      <c r="F459" s="5" t="inlineStr">
        <is>
          <t>II</t>
        </is>
      </c>
      <c r="G459" s="5" t="inlineStr">
        <is>
          <t>O processo de elaboração de AIR está mapeado na instituição;</t>
        </is>
      </c>
      <c r="H459" s="6" t="n"/>
      <c r="I459" s="6" t="n"/>
      <c r="J459" s="6" t="n"/>
      <c r="K459" s="6" t="inlineStr">
        <is>
          <t>pendente</t>
        </is>
      </c>
      <c r="L459" s="6" t="n"/>
      <c r="M459" s="5">
        <f>IF(H459="SIM",1,0)</f>
        <v/>
      </c>
      <c r="N459" s="5">
        <f>IF(AND(H459="SIM",K459="validado",I459&lt;&gt;""),1,0)</f>
        <v/>
      </c>
    </row>
    <row r="460">
      <c r="A460" s="5" t="inlineStr">
        <is>
          <t>ANP</t>
        </is>
      </c>
      <c r="B460" s="5" t="inlineStr">
        <is>
          <t>AIR_PRO.INI.II</t>
        </is>
      </c>
      <c r="C460" s="5" t="inlineStr">
        <is>
          <t>AIR_PRO</t>
        </is>
      </c>
      <c r="D460" s="5" t="n">
        <v>1</v>
      </c>
      <c r="E460" s="5" t="inlineStr">
        <is>
          <t>Inicial</t>
        </is>
      </c>
      <c r="F460" s="5" t="inlineStr">
        <is>
          <t>II</t>
        </is>
      </c>
      <c r="G460" s="5" t="inlineStr">
        <is>
          <t>Todas as AIRs são publicadas e acessíveis ao público na internet;</t>
        </is>
      </c>
      <c r="H460" s="6" t="n"/>
      <c r="I460" s="6" t="n"/>
      <c r="J460" s="6" t="n"/>
      <c r="K460" s="6" t="inlineStr">
        <is>
          <t>pendente</t>
        </is>
      </c>
      <c r="L460" s="6" t="n"/>
      <c r="M460" s="5">
        <f>IF(H460="SIM",1,0)</f>
        <v/>
      </c>
      <c r="N460" s="5">
        <f>IF(AND(H460="SIM",K460="validado",I460&lt;&gt;""),1,0)</f>
        <v/>
      </c>
    </row>
    <row r="461">
      <c r="A461" s="5" t="inlineStr">
        <is>
          <t>ANP</t>
        </is>
      </c>
      <c r="B461" s="5" t="inlineStr">
        <is>
          <t>AIR_PRO.MC.III</t>
        </is>
      </c>
      <c r="C461" s="5" t="inlineStr">
        <is>
          <t>AIR_PRO</t>
        </is>
      </c>
      <c r="D461" s="5" t="n">
        <v>1</v>
      </c>
      <c r="E461" s="5" t="inlineStr">
        <is>
          <t>Melhoria Contínua</t>
        </is>
      </c>
      <c r="F461" s="5" t="inlineStr">
        <is>
          <t>III</t>
        </is>
      </c>
      <c r="G461" s="5" t="inlineStr">
        <is>
          <t>As AIRs de alto impacto/alta complexidade são submetidas à participação social prévia e posterior.</t>
        </is>
      </c>
      <c r="H461" s="6" t="n"/>
      <c r="I461" s="6" t="n"/>
      <c r="J461" s="6" t="n"/>
      <c r="K461" s="6" t="inlineStr">
        <is>
          <t>pendente</t>
        </is>
      </c>
      <c r="L461" s="6" t="n"/>
      <c r="M461" s="5">
        <f>IF(H461="SIM",1,0)</f>
        <v/>
      </c>
      <c r="N461" s="5">
        <f>IF(AND(H461="SIM",K461="validado",I461&lt;&gt;""),1,0)</f>
        <v/>
      </c>
    </row>
    <row r="462">
      <c r="A462" s="5" t="inlineStr">
        <is>
          <t>ANP</t>
        </is>
      </c>
      <c r="B462" s="5" t="inlineStr">
        <is>
          <t>AIR_PRO.GER.III</t>
        </is>
      </c>
      <c r="C462" s="5" t="inlineStr">
        <is>
          <t>AIR_PRO</t>
        </is>
      </c>
      <c r="D462" s="5" t="n">
        <v>1</v>
      </c>
      <c r="E462" s="5" t="inlineStr">
        <is>
          <t>Gerenciado</t>
        </is>
      </c>
      <c r="F462" s="5" t="inlineStr">
        <is>
          <t>III</t>
        </is>
      </c>
      <c r="G462" s="5" t="inlineStr">
        <is>
          <t>As AIRs são objeto de participação social posterior, conforme decisão técnica.</t>
        </is>
      </c>
      <c r="H462" s="6" t="n"/>
      <c r="I462" s="6" t="n"/>
      <c r="J462" s="6" t="n"/>
      <c r="K462" s="6" t="inlineStr">
        <is>
          <t>pendente</t>
        </is>
      </c>
      <c r="L462" s="6" t="n"/>
      <c r="M462" s="5">
        <f>IF(H462="SIM",1,0)</f>
        <v/>
      </c>
      <c r="N462" s="5">
        <f>IF(AND(H462="SIM",K462="validado",I462&lt;&gt;""),1,0)</f>
        <v/>
      </c>
    </row>
    <row r="463">
      <c r="A463" s="5" t="inlineStr">
        <is>
          <t>ANP</t>
        </is>
      </c>
      <c r="B463" s="5" t="inlineStr">
        <is>
          <t>AIR_PRO.INI.III</t>
        </is>
      </c>
      <c r="C463" s="5" t="inlineStr">
        <is>
          <t>AIR_PRO</t>
        </is>
      </c>
      <c r="D463" s="5" t="n">
        <v>1</v>
      </c>
      <c r="E463" s="5" t="inlineStr">
        <is>
          <t>Inicial</t>
        </is>
      </c>
      <c r="F463" s="5" t="inlineStr">
        <is>
          <t>III</t>
        </is>
      </c>
      <c r="G463" s="5" t="inlineStr">
        <is>
          <t>Participação Social é realizada, conforme Decreto nº 10.411, de 2020.</t>
        </is>
      </c>
      <c r="H463" s="6" t="n"/>
      <c r="I463" s="6" t="n"/>
      <c r="J463" s="6" t="n"/>
      <c r="K463" s="6" t="inlineStr">
        <is>
          <t>pendente</t>
        </is>
      </c>
      <c r="L463" s="6" t="n"/>
      <c r="M463" s="5">
        <f>IF(H463="SIM",1,0)</f>
        <v/>
      </c>
      <c r="N463" s="5">
        <f>IF(AND(H463="SIM",K463="validado",I463&lt;&gt;""),1,0)</f>
        <v/>
      </c>
    </row>
    <row r="464">
      <c r="A464" s="5" t="inlineStr">
        <is>
          <t>ANP</t>
        </is>
      </c>
      <c r="B464" s="5" t="inlineStr">
        <is>
          <t>PS.MC.I</t>
        </is>
      </c>
      <c r="C464" s="5" t="inlineStr">
        <is>
          <t>PS</t>
        </is>
      </c>
      <c r="D464" s="5" t="n">
        <v>2</v>
      </c>
      <c r="E464" s="5" t="inlineStr">
        <is>
          <t>Melhoria Contínua</t>
        </is>
      </c>
      <c r="F464" s="5" t="inlineStr">
        <is>
          <t>I</t>
        </is>
      </c>
      <c r="G464" s="5" t="inlineStr">
        <is>
          <t>A instituição realiza eventos de participação social para a construção do conhecimento sobre dada matéria e para o desenvolvimento de propostas;</t>
        </is>
      </c>
      <c r="H464" s="6" t="n"/>
      <c r="I464" s="6" t="n"/>
      <c r="J464" s="6" t="n"/>
      <c r="K464" s="6" t="inlineStr">
        <is>
          <t>pendente</t>
        </is>
      </c>
      <c r="L464" s="6" t="n"/>
      <c r="M464" s="5">
        <f>IF(H464="SIM",1,0)</f>
        <v/>
      </c>
      <c r="N464" s="5">
        <f>IF(AND(H464="SIM",K464="validado",I464&lt;&gt;""),1,0)</f>
        <v/>
      </c>
    </row>
    <row r="465">
      <c r="A465" s="5" t="inlineStr">
        <is>
          <t>ANP</t>
        </is>
      </c>
      <c r="B465" s="5" t="inlineStr">
        <is>
          <t>PS.GER.I</t>
        </is>
      </c>
      <c r="C465" s="5" t="inlineStr">
        <is>
          <t>PS</t>
        </is>
      </c>
      <c r="D465" s="5" t="n">
        <v>2</v>
      </c>
      <c r="E465" s="5" t="inlineStr">
        <is>
          <t>Gerenciado</t>
        </is>
      </c>
      <c r="F465" s="5" t="inlineStr">
        <is>
          <t>I</t>
        </is>
      </c>
      <c r="G465" s="5" t="inlineStr">
        <is>
          <t>Existência de manual ou ato normativo interno instituindo metodologia e procedimento de participação social;</t>
        </is>
      </c>
      <c r="H465" s="6" t="n"/>
      <c r="I465" s="6" t="n"/>
      <c r="J465" s="6" t="n"/>
      <c r="K465" s="6" t="inlineStr">
        <is>
          <t>pendente</t>
        </is>
      </c>
      <c r="L465" s="6" t="n"/>
      <c r="M465" s="5">
        <f>IF(H465="SIM",1,0)</f>
        <v/>
      </c>
      <c r="N465" s="5">
        <f>IF(AND(H465="SIM",K465="validado",I465&lt;&gt;""),1,0)</f>
        <v/>
      </c>
    </row>
    <row r="466">
      <c r="A466" s="5" t="inlineStr">
        <is>
          <t>ANP</t>
        </is>
      </c>
      <c r="B466" s="5" t="inlineStr">
        <is>
          <t>PS.INI.I</t>
        </is>
      </c>
      <c r="C466" s="5" t="inlineStr">
        <is>
          <t>PS</t>
        </is>
      </c>
      <c r="D466" s="5" t="n">
        <v>2</v>
      </c>
      <c r="E466" s="5" t="inlineStr">
        <is>
          <t>Inicial</t>
        </is>
      </c>
      <c r="F466" s="5" t="inlineStr">
        <is>
          <t>I</t>
        </is>
      </c>
      <c r="G466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466" s="6" t="n"/>
      <c r="I466" s="6" t="n"/>
      <c r="J466" s="6" t="n"/>
      <c r="K466" s="6" t="inlineStr">
        <is>
          <t>pendente</t>
        </is>
      </c>
      <c r="L466" s="6" t="n"/>
      <c r="M466" s="5">
        <f>IF(H466="SIM",1,0)</f>
        <v/>
      </c>
      <c r="N466" s="5">
        <f>IF(AND(H466="SIM",K466="validado",I466&lt;&gt;""),1,0)</f>
        <v/>
      </c>
    </row>
    <row r="467">
      <c r="A467" s="5" t="inlineStr">
        <is>
          <t>ANP</t>
        </is>
      </c>
      <c r="B467" s="5" t="inlineStr">
        <is>
          <t>PS.MC.II</t>
        </is>
      </c>
      <c r="C467" s="5" t="inlineStr">
        <is>
          <t>PS</t>
        </is>
      </c>
      <c r="D467" s="5" t="n">
        <v>2</v>
      </c>
      <c r="E467" s="5" t="inlineStr">
        <is>
          <t>Melhoria Contínua</t>
        </is>
      </c>
      <c r="F467" s="5" t="inlineStr">
        <is>
          <t>II</t>
        </is>
      </c>
      <c r="G467" s="5" t="inlineStr">
        <is>
          <t>Relatórios da Ouvidoria, relatórios do portal consumidor.gov, pesquisas de satisfação e dados de atendimento são utilizados para subsidiar as decisões regulatórias;</t>
        </is>
      </c>
      <c r="H467" s="6" t="n"/>
      <c r="I467" s="6" t="n"/>
      <c r="J467" s="6" t="n"/>
      <c r="K467" s="6" t="inlineStr">
        <is>
          <t>pendente</t>
        </is>
      </c>
      <c r="L467" s="6" t="n"/>
      <c r="M467" s="5">
        <f>IF(H467="SIM",1,0)</f>
        <v/>
      </c>
      <c r="N467" s="5">
        <f>IF(AND(H467="SIM",K467="validado",I467&lt;&gt;""),1,0)</f>
        <v/>
      </c>
    </row>
    <row r="468">
      <c r="A468" s="5" t="inlineStr">
        <is>
          <t>ANP</t>
        </is>
      </c>
      <c r="B468" s="5" t="inlineStr">
        <is>
          <t>PS.GER.II</t>
        </is>
      </c>
      <c r="C468" s="5" t="inlineStr">
        <is>
          <t>PS</t>
        </is>
      </c>
      <c r="D468" s="5" t="n">
        <v>2</v>
      </c>
      <c r="E468" s="5" t="inlineStr">
        <is>
          <t>Gerenciado</t>
        </is>
      </c>
      <c r="F468" s="5" t="inlineStr">
        <is>
          <t>II</t>
        </is>
      </c>
      <c r="G468" s="5" t="inlineStr">
        <is>
          <t>Os relatórios da Ouvidoria e os relatórios do portal consumidor.gov são utilizados para subsidiar as decisões regulatórias;</t>
        </is>
      </c>
      <c r="H468" s="6" t="n"/>
      <c r="I468" s="6" t="n"/>
      <c r="J468" s="6" t="n"/>
      <c r="K468" s="6" t="inlineStr">
        <is>
          <t>pendente</t>
        </is>
      </c>
      <c r="L468" s="6" t="n"/>
      <c r="M468" s="5">
        <f>IF(H468="SIM",1,0)</f>
        <v/>
      </c>
      <c r="N468" s="5">
        <f>IF(AND(H468="SIM",K468="validado",I468&lt;&gt;""),1,0)</f>
        <v/>
      </c>
    </row>
    <row r="469">
      <c r="A469" s="5" t="inlineStr">
        <is>
          <t>ANP</t>
        </is>
      </c>
      <c r="B469" s="5" t="inlineStr">
        <is>
          <t>PS.MC.III</t>
        </is>
      </c>
      <c r="C469" s="5" t="inlineStr">
        <is>
          <t>PS</t>
        </is>
      </c>
      <c r="D469" s="5" t="n">
        <v>2</v>
      </c>
      <c r="E469" s="5" t="inlineStr">
        <is>
          <t>Melhoria Contínua</t>
        </is>
      </c>
      <c r="F469" s="5" t="inlineStr">
        <is>
          <t>III</t>
        </is>
      </c>
      <c r="G469" s="5" t="inlineStr">
        <is>
          <t>Todos os instrumentos, processos e relatórios contendo as contribuições analisadas são divulgados no portal do órgão e/ou plataforma Participa Mais Brasil;</t>
        </is>
      </c>
      <c r="H469" s="6" t="n"/>
      <c r="I469" s="6" t="n"/>
      <c r="J469" s="6" t="n"/>
      <c r="K469" s="6" t="inlineStr">
        <is>
          <t>pendente</t>
        </is>
      </c>
      <c r="L469" s="6" t="n"/>
      <c r="M469" s="5">
        <f>IF(H469="SIM",1,0)</f>
        <v/>
      </c>
      <c r="N469" s="5">
        <f>IF(AND(H469="SIM",K469="validado",I469&lt;&gt;""),1,0)</f>
        <v/>
      </c>
    </row>
    <row r="470">
      <c r="A470" s="5" t="inlineStr">
        <is>
          <t>ANP</t>
        </is>
      </c>
      <c r="B470" s="5" t="inlineStr">
        <is>
          <t>PS.GER.III</t>
        </is>
      </c>
      <c r="C470" s="5" t="inlineStr">
        <is>
          <t>PS</t>
        </is>
      </c>
      <c r="D470" s="5" t="n">
        <v>2</v>
      </c>
      <c r="E470" s="5" t="inlineStr">
        <is>
          <t>Gerenciado</t>
        </is>
      </c>
      <c r="F470" s="5" t="inlineStr">
        <is>
          <t>III</t>
        </is>
      </c>
      <c r="G470" s="5" t="inlineStr">
        <is>
          <t>Todas as informações relativas aos processos em andamento são divulgadas no portal do órgão e/ou plataforma Participa Mais Brasil;</t>
        </is>
      </c>
      <c r="H470" s="6" t="n"/>
      <c r="I470" s="6" t="n"/>
      <c r="J470" s="6" t="n"/>
      <c r="K470" s="6" t="inlineStr">
        <is>
          <t>pendente</t>
        </is>
      </c>
      <c r="L470" s="6" t="n"/>
      <c r="M470" s="5">
        <f>IF(H470="SIM",1,0)</f>
        <v/>
      </c>
      <c r="N470" s="5">
        <f>IF(AND(H470="SIM",K470="validado",I470&lt;&gt;""),1,0)</f>
        <v/>
      </c>
    </row>
    <row r="471">
      <c r="A471" s="5" t="inlineStr">
        <is>
          <t>ANP</t>
        </is>
      </c>
      <c r="B471" s="5" t="inlineStr">
        <is>
          <t>PS.MC.IV</t>
        </is>
      </c>
      <c r="C471" s="5" t="inlineStr">
        <is>
          <t>PS</t>
        </is>
      </c>
      <c r="D471" s="5" t="n">
        <v>2</v>
      </c>
      <c r="E471" s="5" t="inlineStr">
        <is>
          <t>Melhoria Contínua</t>
        </is>
      </c>
      <c r="F471" s="5" t="inlineStr">
        <is>
          <t>IV</t>
        </is>
      </c>
      <c r="G471" s="5" t="inlineStr">
        <is>
          <t>A efetividade do evento de participação social é mensurada, conforme metodologia instituída.</t>
        </is>
      </c>
      <c r="H471" s="6" t="n"/>
      <c r="I471" s="6" t="n"/>
      <c r="J471" s="6" t="n"/>
      <c r="K471" s="6" t="inlineStr">
        <is>
          <t>pendente</t>
        </is>
      </c>
      <c r="L471" s="6" t="n"/>
      <c r="M471" s="5">
        <f>IF(H471="SIM",1,0)</f>
        <v/>
      </c>
      <c r="N471" s="5">
        <f>IF(AND(H471="SIM",K471="validado",I471&lt;&gt;""),1,0)</f>
        <v/>
      </c>
    </row>
    <row r="472">
      <c r="A472" s="5" t="inlineStr">
        <is>
          <t>ANP</t>
        </is>
      </c>
      <c r="B472" s="5" t="inlineStr">
        <is>
          <t>PS.GER.IV</t>
        </is>
      </c>
      <c r="C472" s="5" t="inlineStr">
        <is>
          <t>PS</t>
        </is>
      </c>
      <c r="D472" s="5" t="n">
        <v>2</v>
      </c>
      <c r="E472" s="5" t="inlineStr">
        <is>
          <t>Gerenciado</t>
        </is>
      </c>
      <c r="F472" s="5" t="inlineStr">
        <is>
          <t>IV</t>
        </is>
      </c>
      <c r="G472" s="5" t="inlineStr">
        <is>
          <t>A efetividade do evento de participação social é avaliada de forma intuitiva.</t>
        </is>
      </c>
      <c r="H472" s="6" t="n"/>
      <c r="I472" s="6" t="n"/>
      <c r="J472" s="6" t="n"/>
      <c r="K472" s="6" t="inlineStr">
        <is>
          <t>pendente</t>
        </is>
      </c>
      <c r="L472" s="6" t="n"/>
      <c r="M472" s="5">
        <f>IF(H472="SIM",1,0)</f>
        <v/>
      </c>
      <c r="N472" s="5">
        <f>IF(AND(H472="SIM",K472="validado",I472&lt;&gt;""),1,0)</f>
        <v/>
      </c>
    </row>
    <row r="473">
      <c r="A473" s="5" t="inlineStr">
        <is>
          <t>ANP</t>
        </is>
      </c>
      <c r="B473" s="5" t="inlineStr">
        <is>
          <t>EST.MC.I</t>
        </is>
      </c>
      <c r="C473" s="5" t="inlineStr">
        <is>
          <t>EST</t>
        </is>
      </c>
      <c r="D473" s="5" t="n">
        <v>3</v>
      </c>
      <c r="E473" s="5" t="inlineStr">
        <is>
          <t>Melhoria Contínua</t>
        </is>
      </c>
      <c r="F473" s="5" t="inlineStr">
        <is>
          <t>I</t>
        </is>
      </c>
      <c r="G473" s="5" t="inlineStr">
        <is>
          <t>As alterações do estoque regulatório da instituição são priorizadas por meio de uma agenda regulatória;</t>
        </is>
      </c>
      <c r="H473" s="6" t="n"/>
      <c r="I473" s="6" t="n"/>
      <c r="J473" s="6" t="n"/>
      <c r="K473" s="6" t="inlineStr">
        <is>
          <t>pendente</t>
        </is>
      </c>
      <c r="L473" s="6" t="n"/>
      <c r="M473" s="5">
        <f>IF(H473="SIM",1,0)</f>
        <v/>
      </c>
      <c r="N473" s="5">
        <f>IF(AND(H473="SIM",K473="validado",I473&lt;&gt;""),1,0)</f>
        <v/>
      </c>
    </row>
    <row r="474">
      <c r="A474" s="5" t="inlineStr">
        <is>
          <t>ANP</t>
        </is>
      </c>
      <c r="B474" s="5" t="inlineStr">
        <is>
          <t>EST.GER.I</t>
        </is>
      </c>
      <c r="C474" s="5" t="inlineStr">
        <is>
          <t>EST</t>
        </is>
      </c>
      <c r="D474" s="5" t="n">
        <v>3</v>
      </c>
      <c r="E474" s="5" t="inlineStr">
        <is>
          <t>Gerenciado</t>
        </is>
      </c>
      <c r="F474" s="5" t="inlineStr">
        <is>
          <t>I</t>
        </is>
      </c>
      <c r="G474" s="5" t="inlineStr">
        <is>
          <t>Normas publicadas e disponíveis de maneira sistematizada para consulta pública no portal gov.br;</t>
        </is>
      </c>
      <c r="H474" s="6" t="n"/>
      <c r="I474" s="6" t="n"/>
      <c r="J474" s="6" t="n"/>
      <c r="K474" s="6" t="inlineStr">
        <is>
          <t>pendente</t>
        </is>
      </c>
      <c r="L474" s="6" t="n"/>
      <c r="M474" s="5">
        <f>IF(H474="SIM",1,0)</f>
        <v/>
      </c>
      <c r="N474" s="5">
        <f>IF(AND(H474="SIM",K474="validado",I474&lt;&gt;""),1,0)</f>
        <v/>
      </c>
    </row>
    <row r="475">
      <c r="A475" s="5" t="inlineStr">
        <is>
          <t>ANP</t>
        </is>
      </c>
      <c r="B475" s="5" t="inlineStr">
        <is>
          <t>EST.INI.I</t>
        </is>
      </c>
      <c r="C475" s="5" t="inlineStr">
        <is>
          <t>EST</t>
        </is>
      </c>
      <c r="D475" s="5" t="n">
        <v>3</v>
      </c>
      <c r="E475" s="5" t="inlineStr">
        <is>
          <t>Inicial</t>
        </is>
      </c>
      <c r="F475" s="5" t="inlineStr">
        <is>
          <t>I</t>
        </is>
      </c>
      <c r="G475" s="5" t="inlineStr">
        <is>
          <t>Normas publicadas e disponíveis de maneira sistematizada para consulta pública na internet;</t>
        </is>
      </c>
      <c r="H475" s="6" t="n"/>
      <c r="I475" s="6" t="n"/>
      <c r="J475" s="6" t="n"/>
      <c r="K475" s="6" t="inlineStr">
        <is>
          <t>pendente</t>
        </is>
      </c>
      <c r="L475" s="6" t="n"/>
      <c r="M475" s="5">
        <f>IF(H475="SIM",1,0)</f>
        <v/>
      </c>
      <c r="N475" s="5">
        <f>IF(AND(H475="SIM",K475="validado",I475&lt;&gt;""),1,0)</f>
        <v/>
      </c>
    </row>
    <row r="476">
      <c r="A476" s="5" t="inlineStr">
        <is>
          <t>ANP</t>
        </is>
      </c>
      <c r="B476" s="5" t="inlineStr">
        <is>
          <t>EST.MC.II</t>
        </is>
      </c>
      <c r="C476" s="5" t="inlineStr">
        <is>
          <t>EST</t>
        </is>
      </c>
      <c r="D476" s="5" t="n">
        <v>3</v>
      </c>
      <c r="E476" s="5" t="inlineStr">
        <is>
          <t>Melhoria Contínua</t>
        </is>
      </c>
      <c r="F476" s="5" t="inlineStr">
        <is>
          <t>II</t>
        </is>
      </c>
      <c r="G476" s="5" t="inlineStr">
        <is>
          <t>Todas as novas normas passam pela análise de consolidação e compatibilização de normas vigentes.</t>
        </is>
      </c>
      <c r="H476" s="6" t="n"/>
      <c r="I476" s="6" t="n"/>
      <c r="J476" s="6" t="n"/>
      <c r="K476" s="6" t="inlineStr">
        <is>
          <t>pendente</t>
        </is>
      </c>
      <c r="L476" s="6" t="n"/>
      <c r="M476" s="5">
        <f>IF(H476="SIM",1,0)</f>
        <v/>
      </c>
      <c r="N476" s="5">
        <f>IF(AND(H476="SIM",K476="validado",I476&lt;&gt;""),1,0)</f>
        <v/>
      </c>
    </row>
    <row r="477">
      <c r="A477" s="5" t="inlineStr">
        <is>
          <t>ANP</t>
        </is>
      </c>
      <c r="B477" s="5" t="inlineStr">
        <is>
          <t>EST.GER.II</t>
        </is>
      </c>
      <c r="C477" s="5" t="inlineStr">
        <is>
          <t>EST</t>
        </is>
      </c>
      <c r="D477" s="5" t="n">
        <v>3</v>
      </c>
      <c r="E477" s="5" t="inlineStr">
        <is>
          <t>Gerenciado</t>
        </is>
      </c>
      <c r="F477" s="5" t="inlineStr">
        <is>
          <t>II</t>
        </is>
      </c>
      <c r="G477" s="5" t="inlineStr">
        <is>
          <t>Foi realizado levantamento quantitativo de todas as normas do órgão, bem como análise qualitativa, indexação e classificação por tema;</t>
        </is>
      </c>
      <c r="H477" s="6" t="n"/>
      <c r="I477" s="6" t="n"/>
      <c r="J477" s="6" t="n"/>
      <c r="K477" s="6" t="inlineStr">
        <is>
          <t>pendente</t>
        </is>
      </c>
      <c r="L477" s="6" t="n"/>
      <c r="M477" s="5">
        <f>IF(H477="SIM",1,0)</f>
        <v/>
      </c>
      <c r="N477" s="5">
        <f>IF(AND(H477="SIM",K477="validado",I477&lt;&gt;""),1,0)</f>
        <v/>
      </c>
    </row>
    <row r="478">
      <c r="A478" s="5" t="inlineStr">
        <is>
          <t>ANP</t>
        </is>
      </c>
      <c r="B478" s="5" t="inlineStr">
        <is>
          <t>EST.INI.II</t>
        </is>
      </c>
      <c r="C478" s="5" t="inlineStr">
        <is>
          <t>EST</t>
        </is>
      </c>
      <c r="D478" s="5" t="n">
        <v>3</v>
      </c>
      <c r="E478" s="5" t="inlineStr">
        <is>
          <t>Inicial</t>
        </is>
      </c>
      <c r="F478" s="5" t="inlineStr">
        <is>
          <t>II</t>
        </is>
      </c>
      <c r="G478" s="5" t="inlineStr">
        <is>
          <t>Foi realizado levantamento quantitativo de todas as normas do órgão.</t>
        </is>
      </c>
      <c r="H478" s="6" t="n"/>
      <c r="I478" s="6" t="n"/>
      <c r="J478" s="6" t="n"/>
      <c r="K478" s="6" t="inlineStr">
        <is>
          <t>pendente</t>
        </is>
      </c>
      <c r="L478" s="6" t="n"/>
      <c r="M478" s="5">
        <f>IF(H478="SIM",1,0)</f>
        <v/>
      </c>
      <c r="N478" s="5">
        <f>IF(AND(H478="SIM",K478="validado",I478&lt;&gt;""),1,0)</f>
        <v/>
      </c>
    </row>
    <row r="479">
      <c r="A479" s="5" t="inlineStr">
        <is>
          <t>ANP</t>
        </is>
      </c>
      <c r="B479" s="5" t="inlineStr">
        <is>
          <t>EST.GER.III</t>
        </is>
      </c>
      <c r="C479" s="5" t="inlineStr">
        <is>
          <t>EST</t>
        </is>
      </c>
      <c r="D479" s="5" t="n">
        <v>3</v>
      </c>
      <c r="E479" s="5" t="inlineStr">
        <is>
          <t>Gerenciado</t>
        </is>
      </c>
      <c r="F479" s="5" t="inlineStr">
        <is>
          <t>III</t>
        </is>
      </c>
      <c r="G479" s="5" t="inlineStr">
        <is>
          <t>Para toda a nova norma de alto impacto/alta complexidade foi estimado o fardo regulatório; e</t>
        </is>
      </c>
      <c r="H479" s="6" t="n"/>
      <c r="I479" s="6" t="n"/>
      <c r="J479" s="6" t="n"/>
      <c r="K479" s="6" t="inlineStr">
        <is>
          <t>pendente</t>
        </is>
      </c>
      <c r="L479" s="6" t="n"/>
      <c r="M479" s="5">
        <f>IF(H479="SIM",1,0)</f>
        <v/>
      </c>
      <c r="N479" s="5">
        <f>IF(AND(H479="SIM",K479="validado",I479&lt;&gt;""),1,0)</f>
        <v/>
      </c>
    </row>
    <row r="480">
      <c r="A480" s="5" t="inlineStr">
        <is>
          <t>ANP</t>
        </is>
      </c>
      <c r="B480" s="5" t="inlineStr">
        <is>
          <t>EST.GER.IV</t>
        </is>
      </c>
      <c r="C480" s="5" t="inlineStr">
        <is>
          <t>EST</t>
        </is>
      </c>
      <c r="D480" s="5" t="n">
        <v>3</v>
      </c>
      <c r="E480" s="5" t="inlineStr">
        <is>
          <t>Gerenciado</t>
        </is>
      </c>
      <c r="F480" s="5" t="inlineStr">
        <is>
          <t>IV</t>
        </is>
      </c>
      <c r="G480" s="5" t="inlineStr">
        <is>
          <t>Existe manutenção da consolidação normativa, conforme art. 19 do Decreto nº 10.139, de 28 de novembro de 2019.</t>
        </is>
      </c>
      <c r="H480" s="6" t="n"/>
      <c r="I480" s="6" t="n"/>
      <c r="J480" s="6" t="n"/>
      <c r="K480" s="6" t="inlineStr">
        <is>
          <t>pendente</t>
        </is>
      </c>
      <c r="L480" s="6" t="n"/>
      <c r="M480" s="5">
        <f>IF(H480="SIM",1,0)</f>
        <v/>
      </c>
      <c r="N480" s="5">
        <f>IF(AND(H480="SIM",K480="validado",I480&lt;&gt;""),1,0)</f>
        <v/>
      </c>
    </row>
    <row r="481">
      <c r="A481" s="5" t="inlineStr">
        <is>
          <t>ANP</t>
        </is>
      </c>
      <c r="B481" s="5" t="inlineStr">
        <is>
          <t>AGE.MC.I</t>
        </is>
      </c>
      <c r="C481" s="5" t="inlineStr">
        <is>
          <t>AGE</t>
        </is>
      </c>
      <c r="D481" s="5" t="n">
        <v>4</v>
      </c>
      <c r="E481" s="5" t="inlineStr">
        <is>
          <t>Melhoria Contínua</t>
        </is>
      </c>
      <c r="F481" s="5" t="inlineStr">
        <is>
          <t>I</t>
        </is>
      </c>
      <c r="G481" s="5" t="inlineStr">
        <is>
          <t>A elaboração da agenda regulatória tem ampla participação social, a qual é analisada, respondida e divulgada;</t>
        </is>
      </c>
      <c r="H481" s="6" t="n"/>
      <c r="I481" s="6" t="n"/>
      <c r="J481" s="6" t="n"/>
      <c r="K481" s="6" t="inlineStr">
        <is>
          <t>pendente</t>
        </is>
      </c>
      <c r="L481" s="6" t="n"/>
      <c r="M481" s="5">
        <f>IF(H481="SIM",1,0)</f>
        <v/>
      </c>
      <c r="N481" s="5">
        <f>IF(AND(H481="SIM",K481="validado",I481&lt;&gt;""),1,0)</f>
        <v/>
      </c>
    </row>
    <row r="482">
      <c r="A482" s="5" t="inlineStr">
        <is>
          <t>ANP</t>
        </is>
      </c>
      <c r="B482" s="5" t="inlineStr">
        <is>
          <t>AGE.GER.I</t>
        </is>
      </c>
      <c r="C482" s="5" t="inlineStr">
        <is>
          <t>AGE</t>
        </is>
      </c>
      <c r="D482" s="5" t="n">
        <v>4</v>
      </c>
      <c r="E482" s="5" t="inlineStr">
        <is>
          <t>Gerenciado</t>
        </is>
      </c>
      <c r="F482" s="5" t="inlineStr">
        <is>
          <t>I</t>
        </is>
      </c>
      <c r="G482" s="5" t="inlineStr">
        <is>
          <t>A elaboração da agenda regulatória tem ampla participação social, a qual é analisada, porém não respondida e divulgada;</t>
        </is>
      </c>
      <c r="H482" s="6" t="n"/>
      <c r="I482" s="6" t="n"/>
      <c r="J482" s="6" t="n"/>
      <c r="K482" s="6" t="inlineStr">
        <is>
          <t>pendente</t>
        </is>
      </c>
      <c r="L482" s="6" t="n"/>
      <c r="M482" s="5">
        <f>IF(H482="SIM",1,0)</f>
        <v/>
      </c>
      <c r="N482" s="5">
        <f>IF(AND(H482="SIM",K482="validado",I482&lt;&gt;""),1,0)</f>
        <v/>
      </c>
    </row>
    <row r="483">
      <c r="A483" s="5" t="inlineStr">
        <is>
          <t>ANP</t>
        </is>
      </c>
      <c r="B483" s="5" t="inlineStr">
        <is>
          <t>AGE.INI.I</t>
        </is>
      </c>
      <c r="C483" s="5" t="inlineStr">
        <is>
          <t>AGE</t>
        </is>
      </c>
      <c r="D483" s="5" t="n">
        <v>4</v>
      </c>
      <c r="E483" s="5" t="inlineStr">
        <is>
          <t>Inicial</t>
        </is>
      </c>
      <c r="F483" s="5" t="inlineStr">
        <is>
          <t>I</t>
        </is>
      </c>
      <c r="G483" s="5" t="inlineStr">
        <is>
          <t>Os temas da agenda regulatória são elencados e priorizados pelos gestores da agência;</t>
        </is>
      </c>
      <c r="H483" s="6" t="n"/>
      <c r="I483" s="6" t="n"/>
      <c r="J483" s="6" t="n"/>
      <c r="K483" s="6" t="inlineStr">
        <is>
          <t>pendente</t>
        </is>
      </c>
      <c r="L483" s="6" t="n"/>
      <c r="M483" s="5">
        <f>IF(H483="SIM",1,0)</f>
        <v/>
      </c>
      <c r="N483" s="5">
        <f>IF(AND(H483="SIM",K483="validado",I483&lt;&gt;""),1,0)</f>
        <v/>
      </c>
    </row>
    <row r="484">
      <c r="A484" s="5" t="inlineStr">
        <is>
          <t>ANP</t>
        </is>
      </c>
      <c r="B484" s="5" t="inlineStr">
        <is>
          <t>AGE.MC.II</t>
        </is>
      </c>
      <c r="C484" s="5" t="inlineStr">
        <is>
          <t>AGE</t>
        </is>
      </c>
      <c r="D484" s="5" t="n">
        <v>4</v>
      </c>
      <c r="E484" s="5" t="inlineStr">
        <is>
          <t>Melhoria Contínua</t>
        </is>
      </c>
      <c r="F484" s="5" t="inlineStr">
        <is>
          <t>II</t>
        </is>
      </c>
      <c r="G484" s="5" t="inlineStr">
        <is>
          <t>Os projetos da Agenda Regulatória estão aderentes ao planejamento estratégico vigente e estão correlacionados ao Plano de Gestão Anual;</t>
        </is>
      </c>
      <c r="H484" s="6" t="n"/>
      <c r="I484" s="6" t="n"/>
      <c r="J484" s="6" t="n"/>
      <c r="K484" s="6" t="inlineStr">
        <is>
          <t>pendente</t>
        </is>
      </c>
      <c r="L484" s="6" t="n"/>
      <c r="M484" s="5">
        <f>IF(H484="SIM",1,0)</f>
        <v/>
      </c>
      <c r="N484" s="5">
        <f>IF(AND(H484="SIM",K484="validado",I484&lt;&gt;""),1,0)</f>
        <v/>
      </c>
    </row>
    <row r="485">
      <c r="A485" s="5" t="inlineStr">
        <is>
          <t>ANP</t>
        </is>
      </c>
      <c r="B485" s="5" t="inlineStr">
        <is>
          <t>AGE.GER.II</t>
        </is>
      </c>
      <c r="C485" s="5" t="inlineStr">
        <is>
          <t>AGE</t>
        </is>
      </c>
      <c r="D485" s="5" t="n">
        <v>4</v>
      </c>
      <c r="E485" s="5" t="inlineStr">
        <is>
          <t>Gerenciado</t>
        </is>
      </c>
      <c r="F485" s="5" t="inlineStr">
        <is>
          <t>II</t>
        </is>
      </c>
      <c r="G485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485" s="6" t="n"/>
      <c r="I485" s="6" t="n"/>
      <c r="J485" s="6" t="n"/>
      <c r="K485" s="6" t="inlineStr">
        <is>
          <t>pendente</t>
        </is>
      </c>
      <c r="L485" s="6" t="n"/>
      <c r="M485" s="5">
        <f>IF(H485="SIM",1,0)</f>
        <v/>
      </c>
      <c r="N485" s="5">
        <f>IF(AND(H485="SIM",K485="validado",I485&lt;&gt;""),1,0)</f>
        <v/>
      </c>
    </row>
    <row r="486">
      <c r="A486" s="5" t="inlineStr">
        <is>
          <t>ANP</t>
        </is>
      </c>
      <c r="B486" s="5" t="inlineStr">
        <is>
          <t>AGE.INI.II</t>
        </is>
      </c>
      <c r="C486" s="5" t="inlineStr">
        <is>
          <t>AGE</t>
        </is>
      </c>
      <c r="D486" s="5" t="n">
        <v>4</v>
      </c>
      <c r="E486" s="5" t="inlineStr">
        <is>
          <t>Inicial</t>
        </is>
      </c>
      <c r="F486" s="5" t="inlineStr">
        <is>
          <t>II</t>
        </is>
      </c>
      <c r="G486" s="5" t="inlineStr">
        <is>
          <t>É avaliada a aderência da proposta de Agenda às políticas públicas.</t>
        </is>
      </c>
      <c r="H486" s="6" t="n"/>
      <c r="I486" s="6" t="n"/>
      <c r="J486" s="6" t="n"/>
      <c r="K486" s="6" t="inlineStr">
        <is>
          <t>pendente</t>
        </is>
      </c>
      <c r="L486" s="6" t="n"/>
      <c r="M486" s="5">
        <f>IF(H486="SIM",1,0)</f>
        <v/>
      </c>
      <c r="N486" s="5">
        <f>IF(AND(H486="SIM",K486="validado",I486&lt;&gt;""),1,0)</f>
        <v/>
      </c>
    </row>
    <row r="487">
      <c r="A487" s="5" t="inlineStr">
        <is>
          <t>ANP</t>
        </is>
      </c>
      <c r="B487" s="5" t="inlineStr">
        <is>
          <t>AGE.MC.III</t>
        </is>
      </c>
      <c r="C487" s="5" t="inlineStr">
        <is>
          <t>AGE</t>
        </is>
      </c>
      <c r="D487" s="5" t="n">
        <v>4</v>
      </c>
      <c r="E487" s="5" t="inlineStr">
        <is>
          <t>Melhoria Contínua</t>
        </is>
      </c>
      <c r="F487" s="5" t="inlineStr">
        <is>
          <t>III</t>
        </is>
      </c>
      <c r="G487" s="5" t="inlineStr">
        <is>
          <t>Cumprimento de, no mínimo, 80% da Agenda Regulatória;</t>
        </is>
      </c>
      <c r="H487" s="6" t="n"/>
      <c r="I487" s="6" t="n"/>
      <c r="J487" s="6" t="n"/>
      <c r="K487" s="6" t="inlineStr">
        <is>
          <t>pendente</t>
        </is>
      </c>
      <c r="L487" s="6" t="n"/>
      <c r="M487" s="5">
        <f>IF(H487="SIM",1,0)</f>
        <v/>
      </c>
      <c r="N487" s="5">
        <f>IF(AND(H487="SIM",K487="validado",I487&lt;&gt;""),1,0)</f>
        <v/>
      </c>
    </row>
    <row r="488">
      <c r="A488" s="5" t="inlineStr">
        <is>
          <t>ANP</t>
        </is>
      </c>
      <c r="B488" s="5" t="inlineStr">
        <is>
          <t>AGE.GER.III</t>
        </is>
      </c>
      <c r="C488" s="5" t="inlineStr">
        <is>
          <t>AGE</t>
        </is>
      </c>
      <c r="D488" s="5" t="n">
        <v>4</v>
      </c>
      <c r="E488" s="5" t="inlineStr">
        <is>
          <t>Gerenciado</t>
        </is>
      </c>
      <c r="F488" s="5" t="inlineStr">
        <is>
          <t>III</t>
        </is>
      </c>
      <c r="G488" s="5" t="inlineStr">
        <is>
          <t>Cumprimento de 50% a 79% da Agenda Regulatória;</t>
        </is>
      </c>
      <c r="H488" s="6" t="n"/>
      <c r="I488" s="6" t="n"/>
      <c r="J488" s="6" t="n"/>
      <c r="K488" s="6" t="inlineStr">
        <is>
          <t>pendente</t>
        </is>
      </c>
      <c r="L488" s="6" t="n"/>
      <c r="M488" s="5">
        <f>IF(H488="SIM",1,0)</f>
        <v/>
      </c>
      <c r="N488" s="5">
        <f>IF(AND(H488="SIM",K488="validado",I488&lt;&gt;""),1,0)</f>
        <v/>
      </c>
    </row>
    <row r="489">
      <c r="A489" s="5" t="inlineStr">
        <is>
          <t>ANP</t>
        </is>
      </c>
      <c r="B489" s="5" t="inlineStr">
        <is>
          <t>AGE.MC.IV</t>
        </is>
      </c>
      <c r="C489" s="5" t="inlineStr">
        <is>
          <t>AGE</t>
        </is>
      </c>
      <c r="D489" s="5" t="n">
        <v>4</v>
      </c>
      <c r="E489" s="5" t="inlineStr">
        <is>
          <t>Melhoria Contínua</t>
        </is>
      </c>
      <c r="F489" s="5" t="inlineStr">
        <is>
          <t>IV</t>
        </is>
      </c>
      <c r="G489" s="5" t="inlineStr">
        <is>
          <t>A execução da Agenda Regulatória é periodicamente monitorada e divulgada.</t>
        </is>
      </c>
      <c r="H489" s="6" t="n"/>
      <c r="I489" s="6" t="n"/>
      <c r="J489" s="6" t="n"/>
      <c r="K489" s="6" t="inlineStr">
        <is>
          <t>pendente</t>
        </is>
      </c>
      <c r="L489" s="6" t="n"/>
      <c r="M489" s="5">
        <f>IF(H489="SIM",1,0)</f>
        <v/>
      </c>
      <c r="N489" s="5">
        <f>IF(AND(H489="SIM",K489="validado",I489&lt;&gt;""),1,0)</f>
        <v/>
      </c>
    </row>
    <row r="490">
      <c r="A490" s="5" t="inlineStr">
        <is>
          <t>ANP</t>
        </is>
      </c>
      <c r="B490" s="5" t="inlineStr">
        <is>
          <t>AGE.GER.IV</t>
        </is>
      </c>
      <c r="C490" s="5" t="inlineStr">
        <is>
          <t>AGE</t>
        </is>
      </c>
      <c r="D490" s="5" t="n">
        <v>4</v>
      </c>
      <c r="E490" s="5" t="inlineStr">
        <is>
          <t>Gerenciado</t>
        </is>
      </c>
      <c r="F490" s="5" t="inlineStr">
        <is>
          <t>IV</t>
        </is>
      </c>
      <c r="G490" s="5" t="inlineStr">
        <is>
          <t>A execução da Agenda Regulatória é periodicamente monitorada.</t>
        </is>
      </c>
      <c r="H490" s="6" t="n"/>
      <c r="I490" s="6" t="n"/>
      <c r="J490" s="6" t="n"/>
      <c r="K490" s="6" t="inlineStr">
        <is>
          <t>pendente</t>
        </is>
      </c>
      <c r="L490" s="6" t="n"/>
      <c r="M490" s="5">
        <f>IF(H490="SIM",1,0)</f>
        <v/>
      </c>
      <c r="N490" s="5">
        <f>IF(AND(H490="SIM",K490="validado",I490&lt;&gt;""),1,0)</f>
        <v/>
      </c>
    </row>
    <row r="491">
      <c r="A491" s="5" t="inlineStr">
        <is>
          <t>ANP</t>
        </is>
      </c>
      <c r="B491" s="5" t="inlineStr">
        <is>
          <t>PRO.MC.I</t>
        </is>
      </c>
      <c r="C491" s="5" t="inlineStr">
        <is>
          <t>PRO</t>
        </is>
      </c>
      <c r="D491" s="5" t="n">
        <v>5</v>
      </c>
      <c r="E491" s="5" t="inlineStr">
        <is>
          <t>Melhoria Contínua</t>
        </is>
      </c>
      <c r="F491" s="5" t="inlineStr">
        <is>
          <t>I</t>
        </is>
      </c>
      <c r="G491" s="5" t="inlineStr">
        <is>
          <t>Indicadores de processo normativo estabelecidos e monitorados;</t>
        </is>
      </c>
      <c r="H491" s="6" t="n"/>
      <c r="I491" s="6" t="n"/>
      <c r="J491" s="6" t="n"/>
      <c r="K491" s="6" t="inlineStr">
        <is>
          <t>pendente</t>
        </is>
      </c>
      <c r="L491" s="6" t="n"/>
      <c r="M491" s="5">
        <f>IF(H491="SIM",1,0)</f>
        <v/>
      </c>
      <c r="N491" s="5">
        <f>IF(AND(H491="SIM",K491="validado",I491&lt;&gt;""),1,0)</f>
        <v/>
      </c>
    </row>
    <row r="492">
      <c r="A492" s="5" t="inlineStr">
        <is>
          <t>ANP</t>
        </is>
      </c>
      <c r="B492" s="5" t="inlineStr">
        <is>
          <t>PRO.GER.I</t>
        </is>
      </c>
      <c r="C492" s="5" t="inlineStr">
        <is>
          <t>PRO</t>
        </is>
      </c>
      <c r="D492" s="5" t="n">
        <v>5</v>
      </c>
      <c r="E492" s="5" t="inlineStr">
        <is>
          <t>Gerenciado</t>
        </is>
      </c>
      <c r="F492" s="5" t="inlineStr">
        <is>
          <t>I</t>
        </is>
      </c>
      <c r="G492" s="5" t="inlineStr">
        <is>
          <t>as intervenções de participação social estão claramente inseridas no processo.</t>
        </is>
      </c>
      <c r="H492" s="6" t="n"/>
      <c r="I492" s="6" t="n"/>
      <c r="J492" s="6" t="n"/>
      <c r="K492" s="6" t="inlineStr">
        <is>
          <t>pendente</t>
        </is>
      </c>
      <c r="L492" s="6" t="n"/>
      <c r="M492" s="5">
        <f>IF(H492="SIM",1,0)</f>
        <v/>
      </c>
      <c r="N492" s="5">
        <f>IF(AND(H492="SIM",K492="validado",I492&lt;&gt;""),1,0)</f>
        <v/>
      </c>
    </row>
    <row r="493">
      <c r="A493" s="5" t="inlineStr">
        <is>
          <t>ANP</t>
        </is>
      </c>
      <c r="B493" s="5" t="inlineStr">
        <is>
          <t>PRO.INI.I</t>
        </is>
      </c>
      <c r="C493" s="5" t="inlineStr">
        <is>
          <t>PRO</t>
        </is>
      </c>
      <c r="D493" s="5" t="n">
        <v>5</v>
      </c>
      <c r="E493" s="5" t="inlineStr">
        <is>
          <t>Inicial</t>
        </is>
      </c>
      <c r="F493" s="5" t="inlineStr">
        <is>
          <t>I</t>
        </is>
      </c>
      <c r="G493" s="5" t="inlineStr">
        <is>
          <t>O fluxo do processo normativo é formalizado de forma bem definida e clara;</t>
        </is>
      </c>
      <c r="H493" s="6" t="n"/>
      <c r="I493" s="6" t="n"/>
      <c r="J493" s="6" t="n"/>
      <c r="K493" s="6" t="inlineStr">
        <is>
          <t>pendente</t>
        </is>
      </c>
      <c r="L493" s="6" t="n"/>
      <c r="M493" s="5">
        <f>IF(H493="SIM",1,0)</f>
        <v/>
      </c>
      <c r="N493" s="5">
        <f>IF(AND(H493="SIM",K493="validado",I493&lt;&gt;""),1,0)</f>
        <v/>
      </c>
    </row>
    <row r="494">
      <c r="A494" s="5" t="inlineStr">
        <is>
          <t>ANP</t>
        </is>
      </c>
      <c r="B494" s="5" t="inlineStr">
        <is>
          <t>PRO.MC.II</t>
        </is>
      </c>
      <c r="C494" s="5" t="inlineStr">
        <is>
          <t>PRO</t>
        </is>
      </c>
      <c r="D494" s="5" t="n">
        <v>5</v>
      </c>
      <c r="E494" s="5" t="inlineStr">
        <is>
          <t>Melhoria Contínua</t>
        </is>
      </c>
      <c r="F494" s="5" t="inlineStr">
        <is>
          <t>II</t>
        </is>
      </c>
      <c r="G494" s="5" t="inlineStr">
        <is>
          <t>Há processo contínuo de avaliação e melhoria do processo normativo, utilizando o resultado dos indicadores.</t>
        </is>
      </c>
      <c r="H494" s="6" t="n"/>
      <c r="I494" s="6" t="n"/>
      <c r="J494" s="6" t="n"/>
      <c r="K494" s="6" t="inlineStr">
        <is>
          <t>pendente</t>
        </is>
      </c>
      <c r="L494" s="6" t="n"/>
      <c r="M494" s="5">
        <f>IF(H494="SIM",1,0)</f>
        <v/>
      </c>
      <c r="N494" s="5">
        <f>IF(AND(H494="SIM",K494="validado",I494&lt;&gt;""),1,0)</f>
        <v/>
      </c>
    </row>
    <row r="495">
      <c r="A495" s="5" t="inlineStr">
        <is>
          <t>ANP</t>
        </is>
      </c>
      <c r="B495" s="5" t="inlineStr">
        <is>
          <t>PRO.INI.II</t>
        </is>
      </c>
      <c r="C495" s="5" t="inlineStr">
        <is>
          <t>PRO</t>
        </is>
      </c>
      <c r="D495" s="5" t="n">
        <v>5</v>
      </c>
      <c r="E495" s="5" t="inlineStr">
        <is>
          <t>Inicial</t>
        </is>
      </c>
      <c r="F495" s="5" t="inlineStr">
        <is>
          <t>II</t>
        </is>
      </c>
      <c r="G495" s="5" t="inlineStr">
        <is>
          <t>As instâncias de aprovação estabelecidas são claras e formalizadas.</t>
        </is>
      </c>
      <c r="H495" s="6" t="n"/>
      <c r="I495" s="6" t="n"/>
      <c r="J495" s="6" t="n"/>
      <c r="K495" s="6" t="inlineStr">
        <is>
          <t>pendente</t>
        </is>
      </c>
      <c r="L495" s="6" t="n"/>
      <c r="M495" s="5">
        <f>IF(H495="SIM",1,0)</f>
        <v/>
      </c>
      <c r="N495" s="5">
        <f>IF(AND(H495="SIM",K495="validado",I495&lt;&gt;""),1,0)</f>
        <v/>
      </c>
    </row>
    <row r="496">
      <c r="A496" s="5" t="inlineStr">
        <is>
          <t>ANP</t>
        </is>
      </c>
      <c r="B496" s="5" t="inlineStr">
        <is>
          <t>ARR_CAP.MC.I</t>
        </is>
      </c>
      <c r="C496" s="5" t="inlineStr">
        <is>
          <t>ARR_CAP</t>
        </is>
      </c>
      <c r="D496" s="5" t="n">
        <v>6</v>
      </c>
      <c r="E496" s="5" t="inlineStr">
        <is>
          <t>Melhoria Contínua</t>
        </is>
      </c>
      <c r="F496" s="5" t="inlineStr">
        <is>
          <t>I</t>
        </is>
      </c>
      <c r="G496" s="5" t="inlineStr">
        <is>
          <t>Plano de capacitação formalizado e em execução, incluindo permanente reciclagem em ARR;</t>
        </is>
      </c>
      <c r="H496" s="6" t="n"/>
      <c r="I496" s="6" t="n"/>
      <c r="J496" s="6" t="n"/>
      <c r="K496" s="6" t="inlineStr">
        <is>
          <t>pendente</t>
        </is>
      </c>
      <c r="L496" s="6" t="n"/>
      <c r="M496" s="5">
        <f>IF(H496="SIM",1,0)</f>
        <v/>
      </c>
      <c r="N496" s="5">
        <f>IF(AND(H496="SIM",K496="validado",I496&lt;&gt;""),1,0)</f>
        <v/>
      </c>
    </row>
    <row r="497">
      <c r="A497" s="5" t="inlineStr">
        <is>
          <t>ANP</t>
        </is>
      </c>
      <c r="B497" s="5" t="inlineStr">
        <is>
          <t>ARR_CAP.GER.I</t>
        </is>
      </c>
      <c r="C497" s="5" t="inlineStr">
        <is>
          <t>ARR_CAP</t>
        </is>
      </c>
      <c r="D497" s="5" t="n">
        <v>6</v>
      </c>
      <c r="E497" s="5" t="inlineStr">
        <is>
          <t>Gerenciado</t>
        </is>
      </c>
      <c r="F497" s="5" t="inlineStr">
        <is>
          <t>I</t>
        </is>
      </c>
      <c r="G497" s="5" t="inlineStr">
        <is>
          <t>Capacitações institucionalizadas, sem um plano formalizado;</t>
        </is>
      </c>
      <c r="H497" s="6" t="n"/>
      <c r="I497" s="6" t="n"/>
      <c r="J497" s="6" t="n"/>
      <c r="K497" s="6" t="inlineStr">
        <is>
          <t>pendente</t>
        </is>
      </c>
      <c r="L497" s="6" t="n"/>
      <c r="M497" s="5">
        <f>IF(H497="SIM",1,0)</f>
        <v/>
      </c>
      <c r="N497" s="5">
        <f>IF(AND(H497="SIM",K497="validado",I497&lt;&gt;""),1,0)</f>
        <v/>
      </c>
    </row>
    <row r="498">
      <c r="A498" s="5" t="inlineStr">
        <is>
          <t>ANP</t>
        </is>
      </c>
      <c r="B498" s="5" t="inlineStr">
        <is>
          <t>ARR_CAP.INI.I</t>
        </is>
      </c>
      <c r="C498" s="5" t="inlineStr">
        <is>
          <t>ARR_CAP</t>
        </is>
      </c>
      <c r="D498" s="5" t="n">
        <v>6</v>
      </c>
      <c r="E498" s="5" t="inlineStr">
        <is>
          <t>Inicial</t>
        </is>
      </c>
      <c r="F498" s="5" t="inlineStr">
        <is>
          <t>I</t>
        </is>
      </c>
      <c r="G498" s="5" t="inlineStr">
        <is>
          <t>Capacitações não estão institucionalizadas;</t>
        </is>
      </c>
      <c r="H498" s="6" t="n"/>
      <c r="I498" s="6" t="n"/>
      <c r="J498" s="6" t="n"/>
      <c r="K498" s="6" t="inlineStr">
        <is>
          <t>pendente</t>
        </is>
      </c>
      <c r="L498" s="6" t="n"/>
      <c r="M498" s="5">
        <f>IF(H498="SIM",1,0)</f>
        <v/>
      </c>
      <c r="N498" s="5">
        <f>IF(AND(H498="SIM",K498="validado",I498&lt;&gt;""),1,0)</f>
        <v/>
      </c>
    </row>
    <row r="499">
      <c r="A499" s="5" t="inlineStr">
        <is>
          <t>ANP</t>
        </is>
      </c>
      <c r="B499" s="5" t="inlineStr">
        <is>
          <t>ARR_CAP.MC.II</t>
        </is>
      </c>
      <c r="C499" s="5" t="inlineStr">
        <is>
          <t>ARR_CAP</t>
        </is>
      </c>
      <c r="D499" s="5" t="n">
        <v>6</v>
      </c>
      <c r="E499" s="5" t="inlineStr">
        <is>
          <t>Melhoria Contínua</t>
        </is>
      </c>
      <c r="F499" s="5" t="inlineStr">
        <is>
          <t>II</t>
        </is>
      </c>
      <c r="G499" s="5" t="inlineStr">
        <is>
          <t>No mínimo, 75% dos servidores envolvidos em elaboração de regulação capacitados em ARR.</t>
        </is>
      </c>
      <c r="H499" s="6" t="n"/>
      <c r="I499" s="6" t="n"/>
      <c r="J499" s="6" t="n"/>
      <c r="K499" s="6" t="inlineStr">
        <is>
          <t>pendente</t>
        </is>
      </c>
      <c r="L499" s="6" t="n"/>
      <c r="M499" s="5">
        <f>IF(H499="SIM",1,0)</f>
        <v/>
      </c>
      <c r="N499" s="5">
        <f>IF(AND(H499="SIM",K499="validado",I499&lt;&gt;""),1,0)</f>
        <v/>
      </c>
    </row>
    <row r="500">
      <c r="A500" s="5" t="inlineStr">
        <is>
          <t>ANP</t>
        </is>
      </c>
      <c r="B500" s="5" t="inlineStr">
        <is>
          <t>ARR_CAP.GER.II</t>
        </is>
      </c>
      <c r="C500" s="5" t="inlineStr">
        <is>
          <t>ARR_CAP</t>
        </is>
      </c>
      <c r="D500" s="5" t="n">
        <v>6</v>
      </c>
      <c r="E500" s="5" t="inlineStr">
        <is>
          <t>Gerenciado</t>
        </is>
      </c>
      <c r="F500" s="5" t="inlineStr">
        <is>
          <t>II</t>
        </is>
      </c>
      <c r="G500" s="5" t="inlineStr">
        <is>
          <t>de 50% a 74% dos servidores envolvidos em elaboração de regulação capacitados em ARR;</t>
        </is>
      </c>
      <c r="H500" s="6" t="n"/>
      <c r="I500" s="6" t="n"/>
      <c r="J500" s="6" t="n"/>
      <c r="K500" s="6" t="inlineStr">
        <is>
          <t>pendente</t>
        </is>
      </c>
      <c r="L500" s="6" t="n"/>
      <c r="M500" s="5">
        <f>IF(H500="SIM",1,0)</f>
        <v/>
      </c>
      <c r="N500" s="5">
        <f>IF(AND(H500="SIM",K500="validado",I500&lt;&gt;""),1,0)</f>
        <v/>
      </c>
    </row>
    <row r="501">
      <c r="A501" s="5" t="inlineStr">
        <is>
          <t>ANP</t>
        </is>
      </c>
      <c r="B501" s="5" t="inlineStr">
        <is>
          <t>ARR_CAP.INI.II</t>
        </is>
      </c>
      <c r="C501" s="5" t="inlineStr">
        <is>
          <t>ARR_CAP</t>
        </is>
      </c>
      <c r="D501" s="5" t="n">
        <v>6</v>
      </c>
      <c r="E501" s="5" t="inlineStr">
        <is>
          <t>Inicial</t>
        </is>
      </c>
      <c r="F501" s="5" t="inlineStr">
        <is>
          <t>II</t>
        </is>
      </c>
      <c r="G501" s="5" t="inlineStr">
        <is>
          <t>de 25% a 49% dos servidores envolvidos em elaboração de regulação capacitados em ARR.</t>
        </is>
      </c>
      <c r="H501" s="6" t="n"/>
      <c r="I501" s="6" t="n"/>
      <c r="J501" s="6" t="n"/>
      <c r="K501" s="6" t="inlineStr">
        <is>
          <t>pendente</t>
        </is>
      </c>
      <c r="L501" s="6" t="n"/>
      <c r="M501" s="5">
        <f>IF(H501="SIM",1,0)</f>
        <v/>
      </c>
      <c r="N501" s="5">
        <f>IF(AND(H501="SIM",K501="validado",I501&lt;&gt;""),1,0)</f>
        <v/>
      </c>
    </row>
    <row r="502">
      <c r="A502" s="5" t="inlineStr">
        <is>
          <t>ANP</t>
        </is>
      </c>
      <c r="B502" s="5" t="inlineStr">
        <is>
          <t>ARR_MET.MC.I</t>
        </is>
      </c>
      <c r="C502" s="5" t="inlineStr">
        <is>
          <t>ARR_MET</t>
        </is>
      </c>
      <c r="D502" s="5" t="n">
        <v>6</v>
      </c>
      <c r="E502" s="5" t="inlineStr">
        <is>
          <t>Melhoria Contínua</t>
        </is>
      </c>
      <c r="F502" s="5" t="inlineStr">
        <is>
          <t>I</t>
        </is>
      </c>
      <c r="G502" s="5" t="inlineStr">
        <is>
          <t>Metodologia de elaboração de ARR contempla a participação social, conforme complexidade do ato;</t>
        </is>
      </c>
      <c r="H502" s="6" t="n"/>
      <c r="I502" s="6" t="n"/>
      <c r="J502" s="6" t="n"/>
      <c r="K502" s="6" t="inlineStr">
        <is>
          <t>pendente</t>
        </is>
      </c>
      <c r="L502" s="6" t="n"/>
      <c r="M502" s="5">
        <f>IF(H502="SIM",1,0)</f>
        <v/>
      </c>
      <c r="N502" s="5">
        <f>IF(AND(H502="SIM",K502="validado",I502&lt;&gt;""),1,0)</f>
        <v/>
      </c>
    </row>
    <row r="503">
      <c r="A503" s="5" t="inlineStr">
        <is>
          <t>ANP</t>
        </is>
      </c>
      <c r="B503" s="5" t="inlineStr">
        <is>
          <t>ARR_MET.GER.I</t>
        </is>
      </c>
      <c r="C503" s="5" t="inlineStr">
        <is>
          <t>ARR_MET</t>
        </is>
      </c>
      <c r="D503" s="5" t="n">
        <v>6</v>
      </c>
      <c r="E503" s="5" t="inlineStr">
        <is>
          <t>Gerenciado</t>
        </is>
      </c>
      <c r="F503" s="5" t="inlineStr">
        <is>
          <t>I</t>
        </is>
      </c>
      <c r="G503" s="5" t="inlineStr">
        <is>
          <t>Existência de manual ou ato normativo instituindo a aplicabilidade de ARR no órgão;</t>
        </is>
      </c>
      <c r="H503" s="6" t="n"/>
      <c r="I503" s="6" t="n"/>
      <c r="J503" s="6" t="n"/>
      <c r="K503" s="6" t="inlineStr">
        <is>
          <t>pendente</t>
        </is>
      </c>
      <c r="L503" s="6" t="n"/>
      <c r="M503" s="5">
        <f>IF(H503="SIM",1,0)</f>
        <v/>
      </c>
      <c r="N503" s="5">
        <f>IF(AND(H503="SIM",K503="validado",I503&lt;&gt;""),1,0)</f>
        <v/>
      </c>
    </row>
    <row r="504">
      <c r="A504" s="5" t="inlineStr">
        <is>
          <t>ANP</t>
        </is>
      </c>
      <c r="B504" s="5" t="inlineStr">
        <is>
          <t>ARR_MET.INI.I</t>
        </is>
      </c>
      <c r="C504" s="5" t="inlineStr">
        <is>
          <t>ARR_MET</t>
        </is>
      </c>
      <c r="D504" s="5" t="n">
        <v>6</v>
      </c>
      <c r="E504" s="5" t="inlineStr">
        <is>
          <t>Inicial</t>
        </is>
      </c>
      <c r="F504" s="5" t="inlineStr">
        <is>
          <t>I</t>
        </is>
      </c>
      <c r="G504" s="5" t="inlineStr">
        <is>
          <t>existe Agenda de ARR, conforme determinado no Decreto nº 10.411, de 2020.</t>
        </is>
      </c>
      <c r="H504" s="6" t="n"/>
      <c r="I504" s="6" t="n"/>
      <c r="J504" s="6" t="n"/>
      <c r="K504" s="6" t="inlineStr">
        <is>
          <t>pendente</t>
        </is>
      </c>
      <c r="L504" s="6" t="n"/>
      <c r="M504" s="5">
        <f>IF(H504="SIM",1,0)</f>
        <v/>
      </c>
      <c r="N504" s="5">
        <f>IF(AND(H504="SIM",K504="validado",I504&lt;&gt;""),1,0)</f>
        <v/>
      </c>
    </row>
    <row r="505">
      <c r="A505" s="5" t="inlineStr">
        <is>
          <t>ANP</t>
        </is>
      </c>
      <c r="B505" s="5" t="inlineStr">
        <is>
          <t>ARR_MET.MC.II</t>
        </is>
      </c>
      <c r="C505" s="5" t="inlineStr">
        <is>
          <t>ARR_MET</t>
        </is>
      </c>
      <c r="D505" s="5" t="n">
        <v>6</v>
      </c>
      <c r="E505" s="5" t="inlineStr">
        <is>
          <t>Melhoria Contínua</t>
        </is>
      </c>
      <c r="F505" s="5" t="inlineStr">
        <is>
          <t>II</t>
        </is>
      </c>
      <c r="G505" s="5" t="inlineStr">
        <is>
          <t>Existência de Agenda de ARR integrada com a Agenda Regulatória.</t>
        </is>
      </c>
      <c r="H505" s="6" t="n"/>
      <c r="I505" s="6" t="n"/>
      <c r="J505" s="6" t="n"/>
      <c r="K505" s="6" t="inlineStr">
        <is>
          <t>pendente</t>
        </is>
      </c>
      <c r="L505" s="6" t="n"/>
      <c r="M505" s="5">
        <f>IF(H505="SIM",1,0)</f>
        <v/>
      </c>
      <c r="N505" s="5">
        <f>IF(AND(H505="SIM",K505="validado",I505&lt;&gt;""),1,0)</f>
        <v/>
      </c>
    </row>
    <row r="506">
      <c r="A506" s="5" t="inlineStr">
        <is>
          <t>ANP</t>
        </is>
      </c>
      <c r="B506" s="5" t="inlineStr">
        <is>
          <t>ARR_MET.GER.II</t>
        </is>
      </c>
      <c r="C506" s="5" t="inlineStr">
        <is>
          <t>ARR_MET</t>
        </is>
      </c>
      <c r="D506" s="5" t="n">
        <v>6</v>
      </c>
      <c r="E506" s="5" t="inlineStr">
        <is>
          <t>Gerenciado</t>
        </is>
      </c>
      <c r="F506" s="5" t="inlineStr">
        <is>
          <t>II</t>
        </is>
      </c>
      <c r="G506" s="5" t="inlineStr">
        <is>
          <t>Metodologia de elaboração da Agenda de ARR contempla participação social.</t>
        </is>
      </c>
      <c r="H506" s="6" t="n"/>
      <c r="I506" s="6" t="n"/>
      <c r="J506" s="6" t="n"/>
      <c r="K506" s="6" t="inlineStr">
        <is>
          <t>pendente</t>
        </is>
      </c>
      <c r="L506" s="6" t="n"/>
      <c r="M506" s="5">
        <f>IF(H506="SIM",1,0)</f>
        <v/>
      </c>
      <c r="N506" s="5">
        <f>IF(AND(H506="SIM",K506="validado",I506&lt;&gt;""),1,0)</f>
        <v/>
      </c>
    </row>
    <row r="507">
      <c r="A507" s="5" t="inlineStr">
        <is>
          <t>ANP</t>
        </is>
      </c>
      <c r="B507" s="5" t="inlineStr">
        <is>
          <t>ARR_PRO.MC.I</t>
        </is>
      </c>
      <c r="C507" s="5" t="inlineStr">
        <is>
          <t>ARR_PRO</t>
        </is>
      </c>
      <c r="D507" s="5" t="n">
        <v>6</v>
      </c>
      <c r="E507" s="5" t="inlineStr">
        <is>
          <t>Melhoria Contínua</t>
        </is>
      </c>
      <c r="F507" s="5" t="inlineStr">
        <is>
          <t>I</t>
        </is>
      </c>
      <c r="G507" s="5" t="inlineStr">
        <is>
          <t>Há processo contínuo de avaliação e melhoria do processo de elaboração de ARR;</t>
        </is>
      </c>
      <c r="H507" s="6" t="n"/>
      <c r="I507" s="6" t="n"/>
      <c r="J507" s="6" t="n"/>
      <c r="K507" s="6" t="inlineStr">
        <is>
          <t>pendente</t>
        </is>
      </c>
      <c r="L507" s="6" t="n"/>
      <c r="M507" s="5">
        <f>IF(H507="SIM",1,0)</f>
        <v/>
      </c>
      <c r="N507" s="5">
        <f>IF(AND(H507="SIM",K507="validado",I507&lt;&gt;""),1,0)</f>
        <v/>
      </c>
    </row>
    <row r="508">
      <c r="A508" s="5" t="inlineStr">
        <is>
          <t>ANP</t>
        </is>
      </c>
      <c r="B508" s="5" t="inlineStr">
        <is>
          <t>ARR_PRO.GER.I</t>
        </is>
      </c>
      <c r="C508" s="5" t="inlineStr">
        <is>
          <t>ARR_PRO</t>
        </is>
      </c>
      <c r="D508" s="5" t="n">
        <v>6</v>
      </c>
      <c r="E508" s="5" t="inlineStr">
        <is>
          <t>Gerenciado</t>
        </is>
      </c>
      <c r="F508" s="5" t="inlineStr">
        <is>
          <t>I</t>
        </is>
      </c>
      <c r="G508" s="5" t="inlineStr">
        <is>
          <t>ARR é realizada conforme manual ou ato normativo;</t>
        </is>
      </c>
      <c r="H508" s="6" t="n"/>
      <c r="I508" s="6" t="n"/>
      <c r="J508" s="6" t="n"/>
      <c r="K508" s="6" t="inlineStr">
        <is>
          <t>pendente</t>
        </is>
      </c>
      <c r="L508" s="6" t="n"/>
      <c r="M508" s="5">
        <f>IF(H508="SIM",1,0)</f>
        <v/>
      </c>
      <c r="N508" s="5">
        <f>IF(AND(H508="SIM",K508="validado",I508&lt;&gt;""),1,0)</f>
        <v/>
      </c>
    </row>
    <row r="509">
      <c r="A509" s="5" t="inlineStr">
        <is>
          <t>ANP</t>
        </is>
      </c>
      <c r="B509" s="5" t="inlineStr">
        <is>
          <t>ARR_PRO.INI.I</t>
        </is>
      </c>
      <c r="C509" s="5" t="inlineStr">
        <is>
          <t>ARR_PRO</t>
        </is>
      </c>
      <c r="D509" s="5" t="n">
        <v>6</v>
      </c>
      <c r="E509" s="5" t="inlineStr">
        <is>
          <t>Inicial</t>
        </is>
      </c>
      <c r="F509" s="5" t="inlineStr">
        <is>
          <t>I</t>
        </is>
      </c>
      <c r="G509" s="5" t="inlineStr">
        <is>
          <t>Todas as ARRs são publicadas e acessíveis ao público na internet;</t>
        </is>
      </c>
      <c r="H509" s="6" t="n"/>
      <c r="I509" s="6" t="n"/>
      <c r="J509" s="6" t="n"/>
      <c r="K509" s="6" t="inlineStr">
        <is>
          <t>pendente</t>
        </is>
      </c>
      <c r="L509" s="6" t="n"/>
      <c r="M509" s="5">
        <f>IF(H509="SIM",1,0)</f>
        <v/>
      </c>
      <c r="N509" s="5">
        <f>IF(AND(H509="SIM",K509="validado",I509&lt;&gt;""),1,0)</f>
        <v/>
      </c>
    </row>
    <row r="510">
      <c r="A510" s="5" t="inlineStr">
        <is>
          <t>ANP</t>
        </is>
      </c>
      <c r="B510" s="5" t="inlineStr">
        <is>
          <t>ARR_PRO.MC.II</t>
        </is>
      </c>
      <c r="C510" s="5" t="inlineStr">
        <is>
          <t>ARR_PRO</t>
        </is>
      </c>
      <c r="D510" s="5" t="n">
        <v>6</v>
      </c>
      <c r="E510" s="5" t="inlineStr">
        <is>
          <t>Melhoria Contínua</t>
        </is>
      </c>
      <c r="F510" s="5" t="inlineStr">
        <is>
          <t>II</t>
        </is>
      </c>
      <c r="G510" s="5" t="inlineStr">
        <is>
          <t>A execução da Agenda de ARR é periodicamente monitorada e divulgada.</t>
        </is>
      </c>
      <c r="H510" s="6" t="n"/>
      <c r="I510" s="6" t="n"/>
      <c r="J510" s="6" t="n"/>
      <c r="K510" s="6" t="inlineStr">
        <is>
          <t>pendente</t>
        </is>
      </c>
      <c r="L510" s="6" t="n"/>
      <c r="M510" s="5">
        <f>IF(H510="SIM",1,0)</f>
        <v/>
      </c>
      <c r="N510" s="5">
        <f>IF(AND(H510="SIM",K510="validado",I510&lt;&gt;""),1,0)</f>
        <v/>
      </c>
    </row>
    <row r="511">
      <c r="A511" s="5" t="inlineStr">
        <is>
          <t>ANP</t>
        </is>
      </c>
      <c r="B511" s="5" t="inlineStr">
        <is>
          <t>ARR_PRO.GER.II</t>
        </is>
      </c>
      <c r="C511" s="5" t="inlineStr">
        <is>
          <t>ARR_PRO</t>
        </is>
      </c>
      <c r="D511" s="5" t="n">
        <v>6</v>
      </c>
      <c r="E511" s="5" t="inlineStr">
        <is>
          <t>Gerenciado</t>
        </is>
      </c>
      <c r="F511" s="5" t="inlineStr">
        <is>
          <t>II</t>
        </is>
      </c>
      <c r="G511" s="5" t="inlineStr">
        <is>
          <t>ARRs de alto impacto/alta complexidade foram submetidas à participação social.</t>
        </is>
      </c>
      <c r="H511" s="6" t="n"/>
      <c r="I511" s="6" t="n"/>
      <c r="J511" s="6" t="n"/>
      <c r="K511" s="6" t="inlineStr">
        <is>
          <t>pendente</t>
        </is>
      </c>
      <c r="L511" s="6" t="n"/>
      <c r="M511" s="5">
        <f>IF(H511="SIM",1,0)</f>
        <v/>
      </c>
      <c r="N511" s="5">
        <f>IF(AND(H511="SIM",K511="validado",I511&lt;&gt;""),1,0)</f>
        <v/>
      </c>
    </row>
    <row r="512">
      <c r="A512" s="5" t="inlineStr">
        <is>
          <t>ANP</t>
        </is>
      </c>
      <c r="B512" s="5" t="inlineStr">
        <is>
          <t>ARR_PRO.INI.II</t>
        </is>
      </c>
      <c r="C512" s="5" t="inlineStr">
        <is>
          <t>ARR_PRO</t>
        </is>
      </c>
      <c r="D512" s="5" t="n">
        <v>6</v>
      </c>
      <c r="E512" s="5" t="inlineStr">
        <is>
          <t>Inicial</t>
        </is>
      </c>
      <c r="F512" s="5" t="inlineStr">
        <is>
          <t>II</t>
        </is>
      </c>
      <c r="G512" s="5" t="inlineStr">
        <is>
          <t>A agenda de ARR está publicada no site do órgão.</t>
        </is>
      </c>
      <c r="H512" s="6" t="n"/>
      <c r="I512" s="6" t="n"/>
      <c r="J512" s="6" t="n"/>
      <c r="K512" s="6" t="inlineStr">
        <is>
          <t>pendente</t>
        </is>
      </c>
      <c r="L512" s="6" t="n"/>
      <c r="M512" s="5">
        <f>IF(H512="SIM",1,0)</f>
        <v/>
      </c>
      <c r="N512" s="5">
        <f>IF(AND(H512="SIM",K512="validado",I512&lt;&gt;""),1,0)</f>
        <v/>
      </c>
    </row>
    <row r="513">
      <c r="A513" s="5" t="inlineStr">
        <is>
          <t>ANA</t>
        </is>
      </c>
      <c r="B513" s="5" t="inlineStr">
        <is>
          <t>AIR_CAP.MC.I</t>
        </is>
      </c>
      <c r="C513" s="5" t="inlineStr">
        <is>
          <t>AIR_CAP</t>
        </is>
      </c>
      <c r="D513" s="5" t="n">
        <v>1</v>
      </c>
      <c r="E513" s="5" t="inlineStr">
        <is>
          <t>Melhoria Contínua</t>
        </is>
      </c>
      <c r="F513" s="5" t="inlineStr">
        <is>
          <t>I</t>
        </is>
      </c>
      <c r="G513" s="5" t="inlineStr">
        <is>
          <t>Plano de capacitação formalizado e em execução, incluindo permanente reciclagem em técnicas de AIR;</t>
        </is>
      </c>
      <c r="H513" s="6" t="n"/>
      <c r="I513" s="6" t="n"/>
      <c r="J513" s="6" t="n"/>
      <c r="K513" s="6" t="inlineStr">
        <is>
          <t>pendente</t>
        </is>
      </c>
      <c r="L513" s="6" t="n"/>
      <c r="M513" s="5">
        <f>IF(H513="SIM",1,0)</f>
        <v/>
      </c>
      <c r="N513" s="5">
        <f>IF(AND(H513="SIM",K513="validado",I513&lt;&gt;""),1,0)</f>
        <v/>
      </c>
    </row>
    <row r="514">
      <c r="A514" s="5" t="inlineStr">
        <is>
          <t>ANA</t>
        </is>
      </c>
      <c r="B514" s="5" t="inlineStr">
        <is>
          <t>AIR_CAP.GER.I</t>
        </is>
      </c>
      <c r="C514" s="5" t="inlineStr">
        <is>
          <t>AIR_CAP</t>
        </is>
      </c>
      <c r="D514" s="5" t="n">
        <v>1</v>
      </c>
      <c r="E514" s="5" t="inlineStr">
        <is>
          <t>Gerenciado</t>
        </is>
      </c>
      <c r="F514" s="5" t="inlineStr">
        <is>
          <t>I</t>
        </is>
      </c>
      <c r="G514" s="5" t="inlineStr">
        <is>
          <t>Capacitações em AIR estão institucionalizadas, sem um plano formalizado;</t>
        </is>
      </c>
      <c r="H514" s="6" t="n"/>
      <c r="I514" s="6" t="n"/>
      <c r="J514" s="6" t="n"/>
      <c r="K514" s="6" t="inlineStr">
        <is>
          <t>pendente</t>
        </is>
      </c>
      <c r="L514" s="6" t="n"/>
      <c r="M514" s="5">
        <f>IF(H514="SIM",1,0)</f>
        <v/>
      </c>
      <c r="N514" s="5">
        <f>IF(AND(H514="SIM",K514="validado",I514&lt;&gt;""),1,0)</f>
        <v/>
      </c>
    </row>
    <row r="515">
      <c r="A515" s="5" t="inlineStr">
        <is>
          <t>ANA</t>
        </is>
      </c>
      <c r="B515" s="5" t="inlineStr">
        <is>
          <t>AIR_CAP.INI.I</t>
        </is>
      </c>
      <c r="C515" s="5" t="inlineStr">
        <is>
          <t>AIR_CAP</t>
        </is>
      </c>
      <c r="D515" s="5" t="n">
        <v>1</v>
      </c>
      <c r="E515" s="5" t="inlineStr">
        <is>
          <t>Inicial</t>
        </is>
      </c>
      <c r="F515" s="5" t="inlineStr">
        <is>
          <t>I</t>
        </is>
      </c>
      <c r="G515" s="5" t="inlineStr">
        <is>
          <t>Capacitações em AIR não estão institucionalizadas;</t>
        </is>
      </c>
      <c r="H515" s="6" t="n"/>
      <c r="I515" s="6" t="n"/>
      <c r="J515" s="6" t="n"/>
      <c r="K515" s="6" t="inlineStr">
        <is>
          <t>pendente</t>
        </is>
      </c>
      <c r="L515" s="6" t="n"/>
      <c r="M515" s="5">
        <f>IF(H515="SIM",1,0)</f>
        <v/>
      </c>
      <c r="N515" s="5">
        <f>IF(AND(H515="SIM",K515="validado",I515&lt;&gt;""),1,0)</f>
        <v/>
      </c>
    </row>
    <row r="516">
      <c r="A516" s="5" t="inlineStr">
        <is>
          <t>ANA</t>
        </is>
      </c>
      <c r="B516" s="5" t="inlineStr">
        <is>
          <t>AIR_CAP.MC.II</t>
        </is>
      </c>
      <c r="C516" s="5" t="inlineStr">
        <is>
          <t>AIR_CAP</t>
        </is>
      </c>
      <c r="D516" s="5" t="n">
        <v>1</v>
      </c>
      <c r="E516" s="5" t="inlineStr">
        <is>
          <t>Melhoria Contínua</t>
        </is>
      </c>
      <c r="F516" s="5" t="inlineStr">
        <is>
          <t>II</t>
        </is>
      </c>
      <c r="G516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16" s="6" t="n"/>
      <c r="I516" s="6" t="n"/>
      <c r="J516" s="6" t="n"/>
      <c r="K516" s="6" t="inlineStr">
        <is>
          <t>pendente</t>
        </is>
      </c>
      <c r="L516" s="6" t="n"/>
      <c r="M516" s="5">
        <f>IF(H516="SIM",1,0)</f>
        <v/>
      </c>
      <c r="N516" s="5">
        <f>IF(AND(H516="SIM",K516="validado",I516&lt;&gt;""),1,0)</f>
        <v/>
      </c>
    </row>
    <row r="517">
      <c r="A517" s="5" t="inlineStr">
        <is>
          <t>ANA</t>
        </is>
      </c>
      <c r="B517" s="5" t="inlineStr">
        <is>
          <t>AIR_CAP.GER.II</t>
        </is>
      </c>
      <c r="C517" s="5" t="inlineStr">
        <is>
          <t>AIR_CAP</t>
        </is>
      </c>
      <c r="D517" s="5" t="n">
        <v>1</v>
      </c>
      <c r="E517" s="5" t="inlineStr">
        <is>
          <t>Gerenciado</t>
        </is>
      </c>
      <c r="F517" s="5" t="inlineStr">
        <is>
          <t>II</t>
        </is>
      </c>
      <c r="G517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517" s="6" t="n"/>
      <c r="I517" s="6" t="n"/>
      <c r="J517" s="6" t="n"/>
      <c r="K517" s="6" t="inlineStr">
        <is>
          <t>pendente</t>
        </is>
      </c>
      <c r="L517" s="6" t="n"/>
      <c r="M517" s="5">
        <f>IF(H517="SIM",1,0)</f>
        <v/>
      </c>
      <c r="N517" s="5">
        <f>IF(AND(H517="SIM",K517="validado",I517&lt;&gt;""),1,0)</f>
        <v/>
      </c>
    </row>
    <row r="518">
      <c r="A518" s="5" t="inlineStr">
        <is>
          <t>ANA</t>
        </is>
      </c>
      <c r="B518" s="5" t="inlineStr">
        <is>
          <t>AIR_CAP.INI.II</t>
        </is>
      </c>
      <c r="C518" s="5" t="inlineStr">
        <is>
          <t>AIR_CAP</t>
        </is>
      </c>
      <c r="D518" s="5" t="n">
        <v>1</v>
      </c>
      <c r="E518" s="5" t="inlineStr">
        <is>
          <t>Inicial</t>
        </is>
      </c>
      <c r="F518" s="5" t="inlineStr">
        <is>
          <t>II</t>
        </is>
      </c>
      <c r="G518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518" s="6" t="n"/>
      <c r="I518" s="6" t="n"/>
      <c r="J518" s="6" t="n"/>
      <c r="K518" s="6" t="inlineStr">
        <is>
          <t>pendente</t>
        </is>
      </c>
      <c r="L518" s="6" t="n"/>
      <c r="M518" s="5">
        <f>IF(H518="SIM",1,0)</f>
        <v/>
      </c>
      <c r="N518" s="5">
        <f>IF(AND(H518="SIM",K518="validado",I518&lt;&gt;""),1,0)</f>
        <v/>
      </c>
    </row>
    <row r="519">
      <c r="A519" s="5" t="inlineStr">
        <is>
          <t>ANA</t>
        </is>
      </c>
      <c r="B519" s="5" t="inlineStr">
        <is>
          <t>AIR_CAP.MC.III</t>
        </is>
      </c>
      <c r="C519" s="5" t="inlineStr">
        <is>
          <t>AIR_CAP</t>
        </is>
      </c>
      <c r="D519" s="5" t="n">
        <v>1</v>
      </c>
      <c r="E519" s="5" t="inlineStr">
        <is>
          <t>Melhoria Contínua</t>
        </is>
      </c>
      <c r="F519" s="5" t="inlineStr">
        <is>
          <t>III</t>
        </is>
      </c>
      <c r="G519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19" s="6" t="n"/>
      <c r="I519" s="6" t="n"/>
      <c r="J519" s="6" t="n"/>
      <c r="K519" s="6" t="inlineStr">
        <is>
          <t>pendente</t>
        </is>
      </c>
      <c r="L519" s="6" t="n"/>
      <c r="M519" s="5">
        <f>IF(H519="SIM",1,0)</f>
        <v/>
      </c>
      <c r="N519" s="5">
        <f>IF(AND(H519="SIM",K519="validado",I519&lt;&gt;""),1,0)</f>
        <v/>
      </c>
    </row>
    <row r="520">
      <c r="A520" s="5" t="inlineStr">
        <is>
          <t>ANA</t>
        </is>
      </c>
      <c r="B520" s="5" t="inlineStr">
        <is>
          <t>AIR_CAP.GER.III</t>
        </is>
      </c>
      <c r="C520" s="5" t="inlineStr">
        <is>
          <t>AIR_CAP</t>
        </is>
      </c>
      <c r="D520" s="5" t="n">
        <v>1</v>
      </c>
      <c r="E520" s="5" t="inlineStr">
        <is>
          <t>Gerenciado</t>
        </is>
      </c>
      <c r="F520" s="5" t="inlineStr">
        <is>
          <t>III</t>
        </is>
      </c>
      <c r="G520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20" s="6" t="n"/>
      <c r="I520" s="6" t="n"/>
      <c r="J520" s="6" t="n"/>
      <c r="K520" s="6" t="inlineStr">
        <is>
          <t>pendente</t>
        </is>
      </c>
      <c r="L520" s="6" t="n"/>
      <c r="M520" s="5">
        <f>IF(H520="SIM",1,0)</f>
        <v/>
      </c>
      <c r="N520" s="5">
        <f>IF(AND(H520="SIM",K520="validado",I520&lt;&gt;""),1,0)</f>
        <v/>
      </c>
    </row>
    <row r="521">
      <c r="A521" s="5" t="inlineStr">
        <is>
          <t>ANA</t>
        </is>
      </c>
      <c r="B521" s="5" t="inlineStr">
        <is>
          <t>AIR_CAP.INI.III</t>
        </is>
      </c>
      <c r="C521" s="5" t="inlineStr">
        <is>
          <t>AIR_CAP</t>
        </is>
      </c>
      <c r="D521" s="5" t="n">
        <v>1</v>
      </c>
      <c r="E521" s="5" t="inlineStr">
        <is>
          <t>Inicial</t>
        </is>
      </c>
      <c r="F521" s="5" t="inlineStr">
        <is>
          <t>III</t>
        </is>
      </c>
      <c r="G521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521" s="6" t="n"/>
      <c r="I521" s="6" t="n"/>
      <c r="J521" s="6" t="n"/>
      <c r="K521" s="6" t="inlineStr">
        <is>
          <t>pendente</t>
        </is>
      </c>
      <c r="L521" s="6" t="n"/>
      <c r="M521" s="5">
        <f>IF(H521="SIM",1,0)</f>
        <v/>
      </c>
      <c r="N521" s="5">
        <f>IF(AND(H521="SIM",K521="validado",I521&lt;&gt;""),1,0)</f>
        <v/>
      </c>
    </row>
    <row r="522">
      <c r="A522" s="5" t="inlineStr">
        <is>
          <t>ANA</t>
        </is>
      </c>
      <c r="B522" s="5" t="inlineStr">
        <is>
          <t>AIR_CAP.GER.IV</t>
        </is>
      </c>
      <c r="C522" s="5" t="inlineStr">
        <is>
          <t>AIR_CAP</t>
        </is>
      </c>
      <c r="D522" s="5" t="n">
        <v>1</v>
      </c>
      <c r="E522" s="5" t="inlineStr">
        <is>
          <t>Gerenciado</t>
        </is>
      </c>
      <c r="F522" s="5" t="inlineStr">
        <is>
          <t>IV</t>
        </is>
      </c>
      <c r="G522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22" s="6" t="n"/>
      <c r="I522" s="6" t="n"/>
      <c r="J522" s="6" t="n"/>
      <c r="K522" s="6" t="inlineStr">
        <is>
          <t>pendente</t>
        </is>
      </c>
      <c r="L522" s="6" t="n"/>
      <c r="M522" s="5">
        <f>IF(H522="SIM",1,0)</f>
        <v/>
      </c>
      <c r="N522" s="5">
        <f>IF(AND(H522="SIM",K522="validado",I522&lt;&gt;""),1,0)</f>
        <v/>
      </c>
    </row>
    <row r="523">
      <c r="A523" s="5" t="inlineStr">
        <is>
          <t>ANA</t>
        </is>
      </c>
      <c r="B523" s="5" t="inlineStr">
        <is>
          <t>AIR_MET.MC.I</t>
        </is>
      </c>
      <c r="C523" s="5" t="inlineStr">
        <is>
          <t>AIR_MET</t>
        </is>
      </c>
      <c r="D523" s="5" t="n">
        <v>1</v>
      </c>
      <c r="E523" s="5" t="inlineStr">
        <is>
          <t>Melhoria Contínua</t>
        </is>
      </c>
      <c r="F523" s="5" t="inlineStr">
        <is>
          <t>I</t>
        </is>
      </c>
      <c r="G523" s="5" t="inlineStr">
        <is>
          <t>Critérios objetivos estabelecidos para classificação quanto ao nível de impacto e complexidade da AIR;</t>
        </is>
      </c>
      <c r="H523" s="6" t="n"/>
      <c r="I523" s="6" t="n"/>
      <c r="J523" s="6" t="n"/>
      <c r="K523" s="6" t="inlineStr">
        <is>
          <t>pendente</t>
        </is>
      </c>
      <c r="L523" s="6" t="n"/>
      <c r="M523" s="5">
        <f>IF(H523="SIM",1,0)</f>
        <v/>
      </c>
      <c r="N523" s="5">
        <f>IF(AND(H523="SIM",K523="validado",I523&lt;&gt;""),1,0)</f>
        <v/>
      </c>
    </row>
    <row r="524">
      <c r="A524" s="5" t="inlineStr">
        <is>
          <t>ANA</t>
        </is>
      </c>
      <c r="B524" s="5" t="inlineStr">
        <is>
          <t>AIR_MET.GER.I</t>
        </is>
      </c>
      <c r="C524" s="5" t="inlineStr">
        <is>
          <t>AIR_MET</t>
        </is>
      </c>
      <c r="D524" s="5" t="n">
        <v>1</v>
      </c>
      <c r="E524" s="5" t="inlineStr">
        <is>
          <t>Gerenciado</t>
        </is>
      </c>
      <c r="F524" s="5" t="inlineStr">
        <is>
          <t>I</t>
        </is>
      </c>
      <c r="G524" s="5" t="inlineStr">
        <is>
          <t>Existência de manual ou ato normativo interno instituindo a aplicabilidade institucional da AIR;</t>
        </is>
      </c>
      <c r="H524" s="6" t="n"/>
      <c r="I524" s="6" t="n"/>
      <c r="J524" s="6" t="n"/>
      <c r="K524" s="6" t="inlineStr">
        <is>
          <t>pendente</t>
        </is>
      </c>
      <c r="L524" s="6" t="n"/>
      <c r="M524" s="5">
        <f>IF(H524="SIM",1,0)</f>
        <v/>
      </c>
      <c r="N524" s="5">
        <f>IF(AND(H524="SIM",K524="validado",I524&lt;&gt;""),1,0)</f>
        <v/>
      </c>
    </row>
    <row r="525">
      <c r="A525" s="5" t="inlineStr">
        <is>
          <t>ANA</t>
        </is>
      </c>
      <c r="B525" s="5" t="inlineStr">
        <is>
          <t>AIR_MET.INI.I</t>
        </is>
      </c>
      <c r="C525" s="5" t="inlineStr">
        <is>
          <t>AIR_MET</t>
        </is>
      </c>
      <c r="D525" s="5" t="n">
        <v>1</v>
      </c>
      <c r="E525" s="5" t="inlineStr">
        <is>
          <t>Inicial</t>
        </is>
      </c>
      <c r="F525" s="5" t="inlineStr">
        <is>
          <t>I</t>
        </is>
      </c>
      <c r="G525" s="5" t="inlineStr">
        <is>
          <t>houve a publicação de normativo interno dispondo sobre a aplicação da AIR na instituição, conforme Decreto nº 10.411, de 2020.</t>
        </is>
      </c>
      <c r="H525" s="6" t="n"/>
      <c r="I525" s="6" t="n"/>
      <c r="J525" s="6" t="n"/>
      <c r="K525" s="6" t="inlineStr">
        <is>
          <t>pendente</t>
        </is>
      </c>
      <c r="L525" s="6" t="n"/>
      <c r="M525" s="5">
        <f>IF(H525="SIM",1,0)</f>
        <v/>
      </c>
      <c r="N525" s="5">
        <f>IF(AND(H525="SIM",K525="validado",I525&lt;&gt;""),1,0)</f>
        <v/>
      </c>
    </row>
    <row r="526">
      <c r="A526" s="5" t="inlineStr">
        <is>
          <t>ANA</t>
        </is>
      </c>
      <c r="B526" s="5" t="inlineStr">
        <is>
          <t>AIR_MET.MC.II</t>
        </is>
      </c>
      <c r="C526" s="5" t="inlineStr">
        <is>
          <t>AIR_MET</t>
        </is>
      </c>
      <c r="D526" s="5" t="n">
        <v>1</v>
      </c>
      <c r="E526" s="5" t="inlineStr">
        <is>
          <t>Melhoria Contínua</t>
        </is>
      </c>
      <c r="F526" s="5" t="inlineStr">
        <is>
          <t>II</t>
        </is>
      </c>
      <c r="G526" s="5" t="inlineStr">
        <is>
          <t>Metodologia contempla participação social prévia e posterior à elaboração da AIR, conforme complexidade do ato.</t>
        </is>
      </c>
      <c r="H526" s="6" t="n"/>
      <c r="I526" s="6" t="n"/>
      <c r="J526" s="6" t="n"/>
      <c r="K526" s="6" t="inlineStr">
        <is>
          <t>pendente</t>
        </is>
      </c>
      <c r="L526" s="6" t="n"/>
      <c r="M526" s="5">
        <f>IF(H526="SIM",1,0)</f>
        <v/>
      </c>
      <c r="N526" s="5">
        <f>IF(AND(H526="SIM",K526="validado",I526&lt;&gt;""),1,0)</f>
        <v/>
      </c>
    </row>
    <row r="527">
      <c r="A527" s="5" t="inlineStr">
        <is>
          <t>ANA</t>
        </is>
      </c>
      <c r="B527" s="5" t="inlineStr">
        <is>
          <t>AIR_MET.GER.II</t>
        </is>
      </c>
      <c r="C527" s="5" t="inlineStr">
        <is>
          <t>AIR_MET</t>
        </is>
      </c>
      <c r="D527" s="5" t="n">
        <v>1</v>
      </c>
      <c r="E527" s="5" t="inlineStr">
        <is>
          <t>Gerenciado</t>
        </is>
      </c>
      <c r="F527" s="5" t="inlineStr">
        <is>
          <t>II</t>
        </is>
      </c>
      <c r="G527" s="5" t="inlineStr">
        <is>
          <t>Existência de manual ou ato normativo dispondo sobre a participação social posterior relativa à AIR.</t>
        </is>
      </c>
      <c r="H527" s="6" t="n"/>
      <c r="I527" s="6" t="n"/>
      <c r="J527" s="6" t="n"/>
      <c r="K527" s="6" t="inlineStr">
        <is>
          <t>pendente</t>
        </is>
      </c>
      <c r="L527" s="6" t="n"/>
      <c r="M527" s="5">
        <f>IF(H527="SIM",1,0)</f>
        <v/>
      </c>
      <c r="N527" s="5">
        <f>IF(AND(H527="SIM",K527="validado",I527&lt;&gt;""),1,0)</f>
        <v/>
      </c>
    </row>
    <row r="528">
      <c r="A528" s="5" t="inlineStr">
        <is>
          <t>ANA</t>
        </is>
      </c>
      <c r="B528" s="5" t="inlineStr">
        <is>
          <t>AIR_PRO.MC.I</t>
        </is>
      </c>
      <c r="C528" s="5" t="inlineStr">
        <is>
          <t>AIR_PRO</t>
        </is>
      </c>
      <c r="D528" s="5" t="n">
        <v>1</v>
      </c>
      <c r="E528" s="5" t="inlineStr">
        <is>
          <t>Melhoria Contínua</t>
        </is>
      </c>
      <c r="F528" s="5" t="inlineStr">
        <is>
          <t>I</t>
        </is>
      </c>
      <c r="G528" s="5" t="inlineStr">
        <is>
          <t>Há processo contínuo de avaliação e melhoria do processo de elaboração de AIR;</t>
        </is>
      </c>
      <c r="H528" s="6" t="n"/>
      <c r="I528" s="6" t="n"/>
      <c r="J528" s="6" t="n"/>
      <c r="K528" s="6" t="inlineStr">
        <is>
          <t>pendente</t>
        </is>
      </c>
      <c r="L528" s="6" t="n"/>
      <c r="M528" s="5">
        <f>IF(H528="SIM",1,0)</f>
        <v/>
      </c>
      <c r="N528" s="5">
        <f>IF(AND(H528="SIM",K528="validado",I528&lt;&gt;""),1,0)</f>
        <v/>
      </c>
    </row>
    <row r="529">
      <c r="A529" s="5" t="inlineStr">
        <is>
          <t>ANA</t>
        </is>
      </c>
      <c r="B529" s="5" t="inlineStr">
        <is>
          <t>AIR_PRO.GER.I</t>
        </is>
      </c>
      <c r="C529" s="5" t="inlineStr">
        <is>
          <t>AIR_PRO</t>
        </is>
      </c>
      <c r="D529" s="5" t="n">
        <v>1</v>
      </c>
      <c r="E529" s="5" t="inlineStr">
        <is>
          <t>Gerenciado</t>
        </is>
      </c>
      <c r="F529" s="5" t="inlineStr">
        <is>
          <t>I</t>
        </is>
      </c>
      <c r="G529" s="5" t="inlineStr">
        <is>
          <t>Todas as AIRs são sempre realizadas conforme manual ou ato normativo interno e publicadas e acessíveis ao público na internet;</t>
        </is>
      </c>
      <c r="H529" s="6" t="n"/>
      <c r="I529" s="6" t="n"/>
      <c r="J529" s="6" t="n"/>
      <c r="K529" s="6" t="inlineStr">
        <is>
          <t>pendente</t>
        </is>
      </c>
      <c r="L529" s="6" t="n"/>
      <c r="M529" s="5">
        <f>IF(H529="SIM",1,0)</f>
        <v/>
      </c>
      <c r="N529" s="5">
        <f>IF(AND(H529="SIM",K529="validado",I529&lt;&gt;""),1,0)</f>
        <v/>
      </c>
    </row>
    <row r="530">
      <c r="A530" s="5" t="inlineStr">
        <is>
          <t>ANA</t>
        </is>
      </c>
      <c r="B530" s="5" t="inlineStr">
        <is>
          <t>AIR_PRO.INI.I</t>
        </is>
      </c>
      <c r="C530" s="5" t="inlineStr">
        <is>
          <t>AIR_PRO</t>
        </is>
      </c>
      <c r="D530" s="5" t="n">
        <v>1</v>
      </c>
      <c r="E530" s="5" t="inlineStr">
        <is>
          <t>Inicial</t>
        </is>
      </c>
      <c r="F530" s="5" t="inlineStr">
        <is>
          <t>I</t>
        </is>
      </c>
      <c r="G530" s="5" t="inlineStr">
        <is>
          <t>AIR é sempre realizada e a dispensa justificada, conforme critérios objetivos estabelecidos, conforme Decreto nº 10.411, de 2020;</t>
        </is>
      </c>
      <c r="H530" s="6" t="n"/>
      <c r="I530" s="6" t="n"/>
      <c r="J530" s="6" t="n"/>
      <c r="K530" s="6" t="inlineStr">
        <is>
          <t>pendente</t>
        </is>
      </c>
      <c r="L530" s="6" t="n"/>
      <c r="M530" s="5">
        <f>IF(H530="SIM",1,0)</f>
        <v/>
      </c>
      <c r="N530" s="5">
        <f>IF(AND(H530="SIM",K530="validado",I530&lt;&gt;""),1,0)</f>
        <v/>
      </c>
    </row>
    <row r="531">
      <c r="A531" s="5" t="inlineStr">
        <is>
          <t>ANA</t>
        </is>
      </c>
      <c r="B531" s="5" t="inlineStr">
        <is>
          <t>AIR_PRO.MC.II</t>
        </is>
      </c>
      <c r="C531" s="5" t="inlineStr">
        <is>
          <t>AIR_PRO</t>
        </is>
      </c>
      <c r="D531" s="5" t="n">
        <v>1</v>
      </c>
      <c r="E531" s="5" t="inlineStr">
        <is>
          <t>Melhoria Contínua</t>
        </is>
      </c>
      <c r="F531" s="5" t="inlineStr">
        <is>
          <t>II</t>
        </is>
      </c>
      <c r="G531" s="5" t="inlineStr">
        <is>
          <t>Existência de instrumento de avaliação de qualidade das AIRs realizadas;</t>
        </is>
      </c>
      <c r="H531" s="6" t="n"/>
      <c r="I531" s="6" t="n"/>
      <c r="J531" s="6" t="n"/>
      <c r="K531" s="6" t="inlineStr">
        <is>
          <t>pendente</t>
        </is>
      </c>
      <c r="L531" s="6" t="n"/>
      <c r="M531" s="5">
        <f>IF(H531="SIM",1,0)</f>
        <v/>
      </c>
      <c r="N531" s="5">
        <f>IF(AND(H531="SIM",K531="validado",I531&lt;&gt;""),1,0)</f>
        <v/>
      </c>
    </row>
    <row r="532">
      <c r="A532" s="5" t="inlineStr">
        <is>
          <t>ANA</t>
        </is>
      </c>
      <c r="B532" s="5" t="inlineStr">
        <is>
          <t>AIR_PRO.GER.II</t>
        </is>
      </c>
      <c r="C532" s="5" t="inlineStr">
        <is>
          <t>AIR_PRO</t>
        </is>
      </c>
      <c r="D532" s="5" t="n">
        <v>1</v>
      </c>
      <c r="E532" s="5" t="inlineStr">
        <is>
          <t>Gerenciado</t>
        </is>
      </c>
      <c r="F532" s="5" t="inlineStr">
        <is>
          <t>II</t>
        </is>
      </c>
      <c r="G532" s="5" t="inlineStr">
        <is>
          <t>O processo de elaboração de AIR está mapeado na instituição;</t>
        </is>
      </c>
      <c r="H532" s="6" t="n"/>
      <c r="I532" s="6" t="n"/>
      <c r="J532" s="6" t="n"/>
      <c r="K532" s="6" t="inlineStr">
        <is>
          <t>pendente</t>
        </is>
      </c>
      <c r="L532" s="6" t="n"/>
      <c r="M532" s="5">
        <f>IF(H532="SIM",1,0)</f>
        <v/>
      </c>
      <c r="N532" s="5">
        <f>IF(AND(H532="SIM",K532="validado",I532&lt;&gt;""),1,0)</f>
        <v/>
      </c>
    </row>
    <row r="533">
      <c r="A533" s="5" t="inlineStr">
        <is>
          <t>ANA</t>
        </is>
      </c>
      <c r="B533" s="5" t="inlineStr">
        <is>
          <t>AIR_PRO.INI.II</t>
        </is>
      </c>
      <c r="C533" s="5" t="inlineStr">
        <is>
          <t>AIR_PRO</t>
        </is>
      </c>
      <c r="D533" s="5" t="n">
        <v>1</v>
      </c>
      <c r="E533" s="5" t="inlineStr">
        <is>
          <t>Inicial</t>
        </is>
      </c>
      <c r="F533" s="5" t="inlineStr">
        <is>
          <t>II</t>
        </is>
      </c>
      <c r="G533" s="5" t="inlineStr">
        <is>
          <t>Todas as AIRs são publicadas e acessíveis ao público na internet;</t>
        </is>
      </c>
      <c r="H533" s="6" t="n"/>
      <c r="I533" s="6" t="n"/>
      <c r="J533" s="6" t="n"/>
      <c r="K533" s="6" t="inlineStr">
        <is>
          <t>pendente</t>
        </is>
      </c>
      <c r="L533" s="6" t="n"/>
      <c r="M533" s="5">
        <f>IF(H533="SIM",1,0)</f>
        <v/>
      </c>
      <c r="N533" s="5">
        <f>IF(AND(H533="SIM",K533="validado",I533&lt;&gt;""),1,0)</f>
        <v/>
      </c>
    </row>
    <row r="534">
      <c r="A534" s="5" t="inlineStr">
        <is>
          <t>ANA</t>
        </is>
      </c>
      <c r="B534" s="5" t="inlineStr">
        <is>
          <t>AIR_PRO.MC.III</t>
        </is>
      </c>
      <c r="C534" s="5" t="inlineStr">
        <is>
          <t>AIR_PRO</t>
        </is>
      </c>
      <c r="D534" s="5" t="n">
        <v>1</v>
      </c>
      <c r="E534" s="5" t="inlineStr">
        <is>
          <t>Melhoria Contínua</t>
        </is>
      </c>
      <c r="F534" s="5" t="inlineStr">
        <is>
          <t>III</t>
        </is>
      </c>
      <c r="G534" s="5" t="inlineStr">
        <is>
          <t>As AIRs de alto impacto/alta complexidade são submetidas à participação social prévia e posterior.</t>
        </is>
      </c>
      <c r="H534" s="6" t="n"/>
      <c r="I534" s="6" t="n"/>
      <c r="J534" s="6" t="n"/>
      <c r="K534" s="6" t="inlineStr">
        <is>
          <t>pendente</t>
        </is>
      </c>
      <c r="L534" s="6" t="n"/>
      <c r="M534" s="5">
        <f>IF(H534="SIM",1,0)</f>
        <v/>
      </c>
      <c r="N534" s="5">
        <f>IF(AND(H534="SIM",K534="validado",I534&lt;&gt;""),1,0)</f>
        <v/>
      </c>
    </row>
    <row r="535">
      <c r="A535" s="5" t="inlineStr">
        <is>
          <t>ANA</t>
        </is>
      </c>
      <c r="B535" s="5" t="inlineStr">
        <is>
          <t>AIR_PRO.GER.III</t>
        </is>
      </c>
      <c r="C535" s="5" t="inlineStr">
        <is>
          <t>AIR_PRO</t>
        </is>
      </c>
      <c r="D535" s="5" t="n">
        <v>1</v>
      </c>
      <c r="E535" s="5" t="inlineStr">
        <is>
          <t>Gerenciado</t>
        </is>
      </c>
      <c r="F535" s="5" t="inlineStr">
        <is>
          <t>III</t>
        </is>
      </c>
      <c r="G535" s="5" t="inlineStr">
        <is>
          <t>As AIRs são objeto de participação social posterior, conforme decisão técnica.</t>
        </is>
      </c>
      <c r="H535" s="6" t="n"/>
      <c r="I535" s="6" t="n"/>
      <c r="J535" s="6" t="n"/>
      <c r="K535" s="6" t="inlineStr">
        <is>
          <t>pendente</t>
        </is>
      </c>
      <c r="L535" s="6" t="n"/>
      <c r="M535" s="5">
        <f>IF(H535="SIM",1,0)</f>
        <v/>
      </c>
      <c r="N535" s="5">
        <f>IF(AND(H535="SIM",K535="validado",I535&lt;&gt;""),1,0)</f>
        <v/>
      </c>
    </row>
    <row r="536">
      <c r="A536" s="5" t="inlineStr">
        <is>
          <t>ANA</t>
        </is>
      </c>
      <c r="B536" s="5" t="inlineStr">
        <is>
          <t>AIR_PRO.INI.III</t>
        </is>
      </c>
      <c r="C536" s="5" t="inlineStr">
        <is>
          <t>AIR_PRO</t>
        </is>
      </c>
      <c r="D536" s="5" t="n">
        <v>1</v>
      </c>
      <c r="E536" s="5" t="inlineStr">
        <is>
          <t>Inicial</t>
        </is>
      </c>
      <c r="F536" s="5" t="inlineStr">
        <is>
          <t>III</t>
        </is>
      </c>
      <c r="G536" s="5" t="inlineStr">
        <is>
          <t>Participação Social é realizada, conforme Decreto nº 10.411, de 2020.</t>
        </is>
      </c>
      <c r="H536" s="6" t="n"/>
      <c r="I536" s="6" t="n"/>
      <c r="J536" s="6" t="n"/>
      <c r="K536" s="6" t="inlineStr">
        <is>
          <t>pendente</t>
        </is>
      </c>
      <c r="L536" s="6" t="n"/>
      <c r="M536" s="5">
        <f>IF(H536="SIM",1,0)</f>
        <v/>
      </c>
      <c r="N536" s="5">
        <f>IF(AND(H536="SIM",K536="validado",I536&lt;&gt;""),1,0)</f>
        <v/>
      </c>
    </row>
    <row r="537">
      <c r="A537" s="5" t="inlineStr">
        <is>
          <t>ANA</t>
        </is>
      </c>
      <c r="B537" s="5" t="inlineStr">
        <is>
          <t>PS.MC.I</t>
        </is>
      </c>
      <c r="C537" s="5" t="inlineStr">
        <is>
          <t>PS</t>
        </is>
      </c>
      <c r="D537" s="5" t="n">
        <v>2</v>
      </c>
      <c r="E537" s="5" t="inlineStr">
        <is>
          <t>Melhoria Contínua</t>
        </is>
      </c>
      <c r="F537" s="5" t="inlineStr">
        <is>
          <t>I</t>
        </is>
      </c>
      <c r="G537" s="5" t="inlineStr">
        <is>
          <t>A instituição realiza eventos de participação social para a construção do conhecimento sobre dada matéria e para o desenvolvimento de propostas;</t>
        </is>
      </c>
      <c r="H537" s="6" t="n"/>
      <c r="I537" s="6" t="n"/>
      <c r="J537" s="6" t="n"/>
      <c r="K537" s="6" t="inlineStr">
        <is>
          <t>pendente</t>
        </is>
      </c>
      <c r="L537" s="6" t="n"/>
      <c r="M537" s="5">
        <f>IF(H537="SIM",1,0)</f>
        <v/>
      </c>
      <c r="N537" s="5">
        <f>IF(AND(H537="SIM",K537="validado",I537&lt;&gt;""),1,0)</f>
        <v/>
      </c>
    </row>
    <row r="538">
      <c r="A538" s="5" t="inlineStr">
        <is>
          <t>ANA</t>
        </is>
      </c>
      <c r="B538" s="5" t="inlineStr">
        <is>
          <t>PS.GER.I</t>
        </is>
      </c>
      <c r="C538" s="5" t="inlineStr">
        <is>
          <t>PS</t>
        </is>
      </c>
      <c r="D538" s="5" t="n">
        <v>2</v>
      </c>
      <c r="E538" s="5" t="inlineStr">
        <is>
          <t>Gerenciado</t>
        </is>
      </c>
      <c r="F538" s="5" t="inlineStr">
        <is>
          <t>I</t>
        </is>
      </c>
      <c r="G538" s="5" t="inlineStr">
        <is>
          <t>Existência de manual ou ato normativo interno instituindo metodologia e procedimento de participação social;</t>
        </is>
      </c>
      <c r="H538" s="6" t="n"/>
      <c r="I538" s="6" t="n"/>
      <c r="J538" s="6" t="n"/>
      <c r="K538" s="6" t="inlineStr">
        <is>
          <t>pendente</t>
        </is>
      </c>
      <c r="L538" s="6" t="n"/>
      <c r="M538" s="5">
        <f>IF(H538="SIM",1,0)</f>
        <v/>
      </c>
      <c r="N538" s="5">
        <f>IF(AND(H538="SIM",K538="validado",I538&lt;&gt;""),1,0)</f>
        <v/>
      </c>
    </row>
    <row r="539">
      <c r="A539" s="5" t="inlineStr">
        <is>
          <t>ANA</t>
        </is>
      </c>
      <c r="B539" s="5" t="inlineStr">
        <is>
          <t>PS.INI.I</t>
        </is>
      </c>
      <c r="C539" s="5" t="inlineStr">
        <is>
          <t>PS</t>
        </is>
      </c>
      <c r="D539" s="5" t="n">
        <v>2</v>
      </c>
      <c r="E539" s="5" t="inlineStr">
        <is>
          <t>Inicial</t>
        </is>
      </c>
      <c r="F539" s="5" t="inlineStr">
        <is>
          <t>I</t>
        </is>
      </c>
      <c r="G539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539" s="6" t="n"/>
      <c r="I539" s="6" t="n"/>
      <c r="J539" s="6" t="n"/>
      <c r="K539" s="6" t="inlineStr">
        <is>
          <t>pendente</t>
        </is>
      </c>
      <c r="L539" s="6" t="n"/>
      <c r="M539" s="5">
        <f>IF(H539="SIM",1,0)</f>
        <v/>
      </c>
      <c r="N539" s="5">
        <f>IF(AND(H539="SIM",K539="validado",I539&lt;&gt;""),1,0)</f>
        <v/>
      </c>
    </row>
    <row r="540">
      <c r="A540" s="5" t="inlineStr">
        <is>
          <t>ANA</t>
        </is>
      </c>
      <c r="B540" s="5" t="inlineStr">
        <is>
          <t>PS.MC.II</t>
        </is>
      </c>
      <c r="C540" s="5" t="inlineStr">
        <is>
          <t>PS</t>
        </is>
      </c>
      <c r="D540" s="5" t="n">
        <v>2</v>
      </c>
      <c r="E540" s="5" t="inlineStr">
        <is>
          <t>Melhoria Contínua</t>
        </is>
      </c>
      <c r="F540" s="5" t="inlineStr">
        <is>
          <t>II</t>
        </is>
      </c>
      <c r="G540" s="5" t="inlineStr">
        <is>
          <t>Relatórios da Ouvidoria, relatórios do portal consumidor.gov, pesquisas de satisfação e dados de atendimento são utilizados para subsidiar as decisões regulatórias;</t>
        </is>
      </c>
      <c r="H540" s="6" t="n"/>
      <c r="I540" s="6" t="n"/>
      <c r="J540" s="6" t="n"/>
      <c r="K540" s="6" t="inlineStr">
        <is>
          <t>pendente</t>
        </is>
      </c>
      <c r="L540" s="6" t="n"/>
      <c r="M540" s="5">
        <f>IF(H540="SIM",1,0)</f>
        <v/>
      </c>
      <c r="N540" s="5">
        <f>IF(AND(H540="SIM",K540="validado",I540&lt;&gt;""),1,0)</f>
        <v/>
      </c>
    </row>
    <row r="541">
      <c r="A541" s="5" t="inlineStr">
        <is>
          <t>ANA</t>
        </is>
      </c>
      <c r="B541" s="5" t="inlineStr">
        <is>
          <t>PS.GER.II</t>
        </is>
      </c>
      <c r="C541" s="5" t="inlineStr">
        <is>
          <t>PS</t>
        </is>
      </c>
      <c r="D541" s="5" t="n">
        <v>2</v>
      </c>
      <c r="E541" s="5" t="inlineStr">
        <is>
          <t>Gerenciado</t>
        </is>
      </c>
      <c r="F541" s="5" t="inlineStr">
        <is>
          <t>II</t>
        </is>
      </c>
      <c r="G541" s="5" t="inlineStr">
        <is>
          <t>Os relatórios da Ouvidoria e os relatórios do portal consumidor.gov são utilizados para subsidiar as decisões regulatórias;</t>
        </is>
      </c>
      <c r="H541" s="6" t="n"/>
      <c r="I541" s="6" t="n"/>
      <c r="J541" s="6" t="n"/>
      <c r="K541" s="6" t="inlineStr">
        <is>
          <t>pendente</t>
        </is>
      </c>
      <c r="L541" s="6" t="n"/>
      <c r="M541" s="5">
        <f>IF(H541="SIM",1,0)</f>
        <v/>
      </c>
      <c r="N541" s="5">
        <f>IF(AND(H541="SIM",K541="validado",I541&lt;&gt;""),1,0)</f>
        <v/>
      </c>
    </row>
    <row r="542">
      <c r="A542" s="5" t="inlineStr">
        <is>
          <t>ANA</t>
        </is>
      </c>
      <c r="B542" s="5" t="inlineStr">
        <is>
          <t>PS.MC.III</t>
        </is>
      </c>
      <c r="C542" s="5" t="inlineStr">
        <is>
          <t>PS</t>
        </is>
      </c>
      <c r="D542" s="5" t="n">
        <v>2</v>
      </c>
      <c r="E542" s="5" t="inlineStr">
        <is>
          <t>Melhoria Contínua</t>
        </is>
      </c>
      <c r="F542" s="5" t="inlineStr">
        <is>
          <t>III</t>
        </is>
      </c>
      <c r="G542" s="5" t="inlineStr">
        <is>
          <t>Todos os instrumentos, processos e relatórios contendo as contribuições analisadas são divulgados no portal do órgão e/ou plataforma Participa Mais Brasil;</t>
        </is>
      </c>
      <c r="H542" s="6" t="n"/>
      <c r="I542" s="6" t="n"/>
      <c r="J542" s="6" t="n"/>
      <c r="K542" s="6" t="inlineStr">
        <is>
          <t>pendente</t>
        </is>
      </c>
      <c r="L542" s="6" t="n"/>
      <c r="M542" s="5">
        <f>IF(H542="SIM",1,0)</f>
        <v/>
      </c>
      <c r="N542" s="5">
        <f>IF(AND(H542="SIM",K542="validado",I542&lt;&gt;""),1,0)</f>
        <v/>
      </c>
    </row>
    <row r="543">
      <c r="A543" s="5" t="inlineStr">
        <is>
          <t>ANA</t>
        </is>
      </c>
      <c r="B543" s="5" t="inlineStr">
        <is>
          <t>PS.GER.III</t>
        </is>
      </c>
      <c r="C543" s="5" t="inlineStr">
        <is>
          <t>PS</t>
        </is>
      </c>
      <c r="D543" s="5" t="n">
        <v>2</v>
      </c>
      <c r="E543" s="5" t="inlineStr">
        <is>
          <t>Gerenciado</t>
        </is>
      </c>
      <c r="F543" s="5" t="inlineStr">
        <is>
          <t>III</t>
        </is>
      </c>
      <c r="G543" s="5" t="inlineStr">
        <is>
          <t>Todas as informações relativas aos processos em andamento são divulgadas no portal do órgão e/ou plataforma Participa Mais Brasil;</t>
        </is>
      </c>
      <c r="H543" s="6" t="n"/>
      <c r="I543" s="6" t="n"/>
      <c r="J543" s="6" t="n"/>
      <c r="K543" s="6" t="inlineStr">
        <is>
          <t>pendente</t>
        </is>
      </c>
      <c r="L543" s="6" t="n"/>
      <c r="M543" s="5">
        <f>IF(H543="SIM",1,0)</f>
        <v/>
      </c>
      <c r="N543" s="5">
        <f>IF(AND(H543="SIM",K543="validado",I543&lt;&gt;""),1,0)</f>
        <v/>
      </c>
    </row>
    <row r="544">
      <c r="A544" s="5" t="inlineStr">
        <is>
          <t>ANA</t>
        </is>
      </c>
      <c r="B544" s="5" t="inlineStr">
        <is>
          <t>PS.MC.IV</t>
        </is>
      </c>
      <c r="C544" s="5" t="inlineStr">
        <is>
          <t>PS</t>
        </is>
      </c>
      <c r="D544" s="5" t="n">
        <v>2</v>
      </c>
      <c r="E544" s="5" t="inlineStr">
        <is>
          <t>Melhoria Contínua</t>
        </is>
      </c>
      <c r="F544" s="5" t="inlineStr">
        <is>
          <t>IV</t>
        </is>
      </c>
      <c r="G544" s="5" t="inlineStr">
        <is>
          <t>A efetividade do evento de participação social é mensurada, conforme metodologia instituída.</t>
        </is>
      </c>
      <c r="H544" s="6" t="n"/>
      <c r="I544" s="6" t="n"/>
      <c r="J544" s="6" t="n"/>
      <c r="K544" s="6" t="inlineStr">
        <is>
          <t>pendente</t>
        </is>
      </c>
      <c r="L544" s="6" t="n"/>
      <c r="M544" s="5">
        <f>IF(H544="SIM",1,0)</f>
        <v/>
      </c>
      <c r="N544" s="5">
        <f>IF(AND(H544="SIM",K544="validado",I544&lt;&gt;""),1,0)</f>
        <v/>
      </c>
    </row>
    <row r="545">
      <c r="A545" s="5" t="inlineStr">
        <is>
          <t>ANA</t>
        </is>
      </c>
      <c r="B545" s="5" t="inlineStr">
        <is>
          <t>PS.GER.IV</t>
        </is>
      </c>
      <c r="C545" s="5" t="inlineStr">
        <is>
          <t>PS</t>
        </is>
      </c>
      <c r="D545" s="5" t="n">
        <v>2</v>
      </c>
      <c r="E545" s="5" t="inlineStr">
        <is>
          <t>Gerenciado</t>
        </is>
      </c>
      <c r="F545" s="5" t="inlineStr">
        <is>
          <t>IV</t>
        </is>
      </c>
      <c r="G545" s="5" t="inlineStr">
        <is>
          <t>A efetividade do evento de participação social é avaliada de forma intuitiva.</t>
        </is>
      </c>
      <c r="H545" s="6" t="n"/>
      <c r="I545" s="6" t="n"/>
      <c r="J545" s="6" t="n"/>
      <c r="K545" s="6" t="inlineStr">
        <is>
          <t>pendente</t>
        </is>
      </c>
      <c r="L545" s="6" t="n"/>
      <c r="M545" s="5">
        <f>IF(H545="SIM",1,0)</f>
        <v/>
      </c>
      <c r="N545" s="5">
        <f>IF(AND(H545="SIM",K545="validado",I545&lt;&gt;""),1,0)</f>
        <v/>
      </c>
    </row>
    <row r="546">
      <c r="A546" s="5" t="inlineStr">
        <is>
          <t>ANA</t>
        </is>
      </c>
      <c r="B546" s="5" t="inlineStr">
        <is>
          <t>EST.MC.I</t>
        </is>
      </c>
      <c r="C546" s="5" t="inlineStr">
        <is>
          <t>EST</t>
        </is>
      </c>
      <c r="D546" s="5" t="n">
        <v>3</v>
      </c>
      <c r="E546" s="5" t="inlineStr">
        <is>
          <t>Melhoria Contínua</t>
        </is>
      </c>
      <c r="F546" s="5" t="inlineStr">
        <is>
          <t>I</t>
        </is>
      </c>
      <c r="G546" s="5" t="inlineStr">
        <is>
          <t>As alterações do estoque regulatório da instituição são priorizadas por meio de uma agenda regulatória;</t>
        </is>
      </c>
      <c r="H546" s="6" t="n"/>
      <c r="I546" s="6" t="n"/>
      <c r="J546" s="6" t="n"/>
      <c r="K546" s="6" t="inlineStr">
        <is>
          <t>pendente</t>
        </is>
      </c>
      <c r="L546" s="6" t="n"/>
      <c r="M546" s="5">
        <f>IF(H546="SIM",1,0)</f>
        <v/>
      </c>
      <c r="N546" s="5">
        <f>IF(AND(H546="SIM",K546="validado",I546&lt;&gt;""),1,0)</f>
        <v/>
      </c>
    </row>
    <row r="547">
      <c r="A547" s="5" t="inlineStr">
        <is>
          <t>ANA</t>
        </is>
      </c>
      <c r="B547" s="5" t="inlineStr">
        <is>
          <t>EST.GER.I</t>
        </is>
      </c>
      <c r="C547" s="5" t="inlineStr">
        <is>
          <t>EST</t>
        </is>
      </c>
      <c r="D547" s="5" t="n">
        <v>3</v>
      </c>
      <c r="E547" s="5" t="inlineStr">
        <is>
          <t>Gerenciado</t>
        </is>
      </c>
      <c r="F547" s="5" t="inlineStr">
        <is>
          <t>I</t>
        </is>
      </c>
      <c r="G547" s="5" t="inlineStr">
        <is>
          <t>Normas publicadas e disponíveis de maneira sistematizada para consulta pública no portal gov.br;</t>
        </is>
      </c>
      <c r="H547" s="6" t="n"/>
      <c r="I547" s="6" t="n"/>
      <c r="J547" s="6" t="n"/>
      <c r="K547" s="6" t="inlineStr">
        <is>
          <t>pendente</t>
        </is>
      </c>
      <c r="L547" s="6" t="n"/>
      <c r="M547" s="5">
        <f>IF(H547="SIM",1,0)</f>
        <v/>
      </c>
      <c r="N547" s="5">
        <f>IF(AND(H547="SIM",K547="validado",I547&lt;&gt;""),1,0)</f>
        <v/>
      </c>
    </row>
    <row r="548">
      <c r="A548" s="5" t="inlineStr">
        <is>
          <t>ANA</t>
        </is>
      </c>
      <c r="B548" s="5" t="inlineStr">
        <is>
          <t>EST.INI.I</t>
        </is>
      </c>
      <c r="C548" s="5" t="inlineStr">
        <is>
          <t>EST</t>
        </is>
      </c>
      <c r="D548" s="5" t="n">
        <v>3</v>
      </c>
      <c r="E548" s="5" t="inlineStr">
        <is>
          <t>Inicial</t>
        </is>
      </c>
      <c r="F548" s="5" t="inlineStr">
        <is>
          <t>I</t>
        </is>
      </c>
      <c r="G548" s="5" t="inlineStr">
        <is>
          <t>Normas publicadas e disponíveis de maneira sistematizada para consulta pública na internet;</t>
        </is>
      </c>
      <c r="H548" s="6" t="n"/>
      <c r="I548" s="6" t="n"/>
      <c r="J548" s="6" t="n"/>
      <c r="K548" s="6" t="inlineStr">
        <is>
          <t>pendente</t>
        </is>
      </c>
      <c r="L548" s="6" t="n"/>
      <c r="M548" s="5">
        <f>IF(H548="SIM",1,0)</f>
        <v/>
      </c>
      <c r="N548" s="5">
        <f>IF(AND(H548="SIM",K548="validado",I548&lt;&gt;""),1,0)</f>
        <v/>
      </c>
    </row>
    <row r="549">
      <c r="A549" s="5" t="inlineStr">
        <is>
          <t>ANA</t>
        </is>
      </c>
      <c r="B549" s="5" t="inlineStr">
        <is>
          <t>EST.MC.II</t>
        </is>
      </c>
      <c r="C549" s="5" t="inlineStr">
        <is>
          <t>EST</t>
        </is>
      </c>
      <c r="D549" s="5" t="n">
        <v>3</v>
      </c>
      <c r="E549" s="5" t="inlineStr">
        <is>
          <t>Melhoria Contínua</t>
        </is>
      </c>
      <c r="F549" s="5" t="inlineStr">
        <is>
          <t>II</t>
        </is>
      </c>
      <c r="G549" s="5" t="inlineStr">
        <is>
          <t>Todas as novas normas passam pela análise de consolidação e compatibilização de normas vigentes.</t>
        </is>
      </c>
      <c r="H549" s="6" t="n"/>
      <c r="I549" s="6" t="n"/>
      <c r="J549" s="6" t="n"/>
      <c r="K549" s="6" t="inlineStr">
        <is>
          <t>pendente</t>
        </is>
      </c>
      <c r="L549" s="6" t="n"/>
      <c r="M549" s="5">
        <f>IF(H549="SIM",1,0)</f>
        <v/>
      </c>
      <c r="N549" s="5">
        <f>IF(AND(H549="SIM",K549="validado",I549&lt;&gt;""),1,0)</f>
        <v/>
      </c>
    </row>
    <row r="550">
      <c r="A550" s="5" t="inlineStr">
        <is>
          <t>ANA</t>
        </is>
      </c>
      <c r="B550" s="5" t="inlineStr">
        <is>
          <t>EST.GER.II</t>
        </is>
      </c>
      <c r="C550" s="5" t="inlineStr">
        <is>
          <t>EST</t>
        </is>
      </c>
      <c r="D550" s="5" t="n">
        <v>3</v>
      </c>
      <c r="E550" s="5" t="inlineStr">
        <is>
          <t>Gerenciado</t>
        </is>
      </c>
      <c r="F550" s="5" t="inlineStr">
        <is>
          <t>II</t>
        </is>
      </c>
      <c r="G550" s="5" t="inlineStr">
        <is>
          <t>Foi realizado levantamento quantitativo de todas as normas do órgão, bem como análise qualitativa, indexação e classificação por tema;</t>
        </is>
      </c>
      <c r="H550" s="6" t="n"/>
      <c r="I550" s="6" t="n"/>
      <c r="J550" s="6" t="n"/>
      <c r="K550" s="6" t="inlineStr">
        <is>
          <t>pendente</t>
        </is>
      </c>
      <c r="L550" s="6" t="n"/>
      <c r="M550" s="5">
        <f>IF(H550="SIM",1,0)</f>
        <v/>
      </c>
      <c r="N550" s="5">
        <f>IF(AND(H550="SIM",K550="validado",I550&lt;&gt;""),1,0)</f>
        <v/>
      </c>
    </row>
    <row r="551">
      <c r="A551" s="5" t="inlineStr">
        <is>
          <t>ANA</t>
        </is>
      </c>
      <c r="B551" s="5" t="inlineStr">
        <is>
          <t>EST.INI.II</t>
        </is>
      </c>
      <c r="C551" s="5" t="inlineStr">
        <is>
          <t>EST</t>
        </is>
      </c>
      <c r="D551" s="5" t="n">
        <v>3</v>
      </c>
      <c r="E551" s="5" t="inlineStr">
        <is>
          <t>Inicial</t>
        </is>
      </c>
      <c r="F551" s="5" t="inlineStr">
        <is>
          <t>II</t>
        </is>
      </c>
      <c r="G551" s="5" t="inlineStr">
        <is>
          <t>Foi realizado levantamento quantitativo de todas as normas do órgão.</t>
        </is>
      </c>
      <c r="H551" s="6" t="n"/>
      <c r="I551" s="6" t="n"/>
      <c r="J551" s="6" t="n"/>
      <c r="K551" s="6" t="inlineStr">
        <is>
          <t>pendente</t>
        </is>
      </c>
      <c r="L551" s="6" t="n"/>
      <c r="M551" s="5">
        <f>IF(H551="SIM",1,0)</f>
        <v/>
      </c>
      <c r="N551" s="5">
        <f>IF(AND(H551="SIM",K551="validado",I551&lt;&gt;""),1,0)</f>
        <v/>
      </c>
    </row>
    <row r="552">
      <c r="A552" s="5" t="inlineStr">
        <is>
          <t>ANA</t>
        </is>
      </c>
      <c r="B552" s="5" t="inlineStr">
        <is>
          <t>EST.GER.III</t>
        </is>
      </c>
      <c r="C552" s="5" t="inlineStr">
        <is>
          <t>EST</t>
        </is>
      </c>
      <c r="D552" s="5" t="n">
        <v>3</v>
      </c>
      <c r="E552" s="5" t="inlineStr">
        <is>
          <t>Gerenciado</t>
        </is>
      </c>
      <c r="F552" s="5" t="inlineStr">
        <is>
          <t>III</t>
        </is>
      </c>
      <c r="G552" s="5" t="inlineStr">
        <is>
          <t>Para toda a nova norma de alto impacto/alta complexidade foi estimado o fardo regulatório; e</t>
        </is>
      </c>
      <c r="H552" s="6" t="n"/>
      <c r="I552" s="6" t="n"/>
      <c r="J552" s="6" t="n"/>
      <c r="K552" s="6" t="inlineStr">
        <is>
          <t>pendente</t>
        </is>
      </c>
      <c r="L552" s="6" t="n"/>
      <c r="M552" s="5">
        <f>IF(H552="SIM",1,0)</f>
        <v/>
      </c>
      <c r="N552" s="5">
        <f>IF(AND(H552="SIM",K552="validado",I552&lt;&gt;""),1,0)</f>
        <v/>
      </c>
    </row>
    <row r="553">
      <c r="A553" s="5" t="inlineStr">
        <is>
          <t>ANA</t>
        </is>
      </c>
      <c r="B553" s="5" t="inlineStr">
        <is>
          <t>EST.GER.IV</t>
        </is>
      </c>
      <c r="C553" s="5" t="inlineStr">
        <is>
          <t>EST</t>
        </is>
      </c>
      <c r="D553" s="5" t="n">
        <v>3</v>
      </c>
      <c r="E553" s="5" t="inlineStr">
        <is>
          <t>Gerenciado</t>
        </is>
      </c>
      <c r="F553" s="5" t="inlineStr">
        <is>
          <t>IV</t>
        </is>
      </c>
      <c r="G553" s="5" t="inlineStr">
        <is>
          <t>Existe manutenção da consolidação normativa, conforme art. 19 do Decreto nº 10.139, de 28 de novembro de 2019.</t>
        </is>
      </c>
      <c r="H553" s="6" t="n"/>
      <c r="I553" s="6" t="n"/>
      <c r="J553" s="6" t="n"/>
      <c r="K553" s="6" t="inlineStr">
        <is>
          <t>pendente</t>
        </is>
      </c>
      <c r="L553" s="6" t="n"/>
      <c r="M553" s="5">
        <f>IF(H553="SIM",1,0)</f>
        <v/>
      </c>
      <c r="N553" s="5">
        <f>IF(AND(H553="SIM",K553="validado",I553&lt;&gt;""),1,0)</f>
        <v/>
      </c>
    </row>
    <row r="554">
      <c r="A554" s="5" t="inlineStr">
        <is>
          <t>ANA</t>
        </is>
      </c>
      <c r="B554" s="5" t="inlineStr">
        <is>
          <t>AGE.MC.I</t>
        </is>
      </c>
      <c r="C554" s="5" t="inlineStr">
        <is>
          <t>AGE</t>
        </is>
      </c>
      <c r="D554" s="5" t="n">
        <v>4</v>
      </c>
      <c r="E554" s="5" t="inlineStr">
        <is>
          <t>Melhoria Contínua</t>
        </is>
      </c>
      <c r="F554" s="5" t="inlineStr">
        <is>
          <t>I</t>
        </is>
      </c>
      <c r="G554" s="5" t="inlineStr">
        <is>
          <t>A elaboração da agenda regulatória tem ampla participação social, a qual é analisada, respondida e divulgada;</t>
        </is>
      </c>
      <c r="H554" s="6" t="n"/>
      <c r="I554" s="6" t="n"/>
      <c r="J554" s="6" t="n"/>
      <c r="K554" s="6" t="inlineStr">
        <is>
          <t>pendente</t>
        </is>
      </c>
      <c r="L554" s="6" t="n"/>
      <c r="M554" s="5">
        <f>IF(H554="SIM",1,0)</f>
        <v/>
      </c>
      <c r="N554" s="5">
        <f>IF(AND(H554="SIM",K554="validado",I554&lt;&gt;""),1,0)</f>
        <v/>
      </c>
    </row>
    <row r="555">
      <c r="A555" s="5" t="inlineStr">
        <is>
          <t>ANA</t>
        </is>
      </c>
      <c r="B555" s="5" t="inlineStr">
        <is>
          <t>AGE.GER.I</t>
        </is>
      </c>
      <c r="C555" s="5" t="inlineStr">
        <is>
          <t>AGE</t>
        </is>
      </c>
      <c r="D555" s="5" t="n">
        <v>4</v>
      </c>
      <c r="E555" s="5" t="inlineStr">
        <is>
          <t>Gerenciado</t>
        </is>
      </c>
      <c r="F555" s="5" t="inlineStr">
        <is>
          <t>I</t>
        </is>
      </c>
      <c r="G555" s="5" t="inlineStr">
        <is>
          <t>A elaboração da agenda regulatória tem ampla participação social, a qual é analisada, porém não respondida e divulgada;</t>
        </is>
      </c>
      <c r="H555" s="6" t="n"/>
      <c r="I555" s="6" t="n"/>
      <c r="J555" s="6" t="n"/>
      <c r="K555" s="6" t="inlineStr">
        <is>
          <t>pendente</t>
        </is>
      </c>
      <c r="L555" s="6" t="n"/>
      <c r="M555" s="5">
        <f>IF(H555="SIM",1,0)</f>
        <v/>
      </c>
      <c r="N555" s="5">
        <f>IF(AND(H555="SIM",K555="validado",I555&lt;&gt;""),1,0)</f>
        <v/>
      </c>
    </row>
    <row r="556">
      <c r="A556" s="5" t="inlineStr">
        <is>
          <t>ANA</t>
        </is>
      </c>
      <c r="B556" s="5" t="inlineStr">
        <is>
          <t>AGE.INI.I</t>
        </is>
      </c>
      <c r="C556" s="5" t="inlineStr">
        <is>
          <t>AGE</t>
        </is>
      </c>
      <c r="D556" s="5" t="n">
        <v>4</v>
      </c>
      <c r="E556" s="5" t="inlineStr">
        <is>
          <t>Inicial</t>
        </is>
      </c>
      <c r="F556" s="5" t="inlineStr">
        <is>
          <t>I</t>
        </is>
      </c>
      <c r="G556" s="5" t="inlineStr">
        <is>
          <t>Os temas da agenda regulatória são elencados e priorizados pelos gestores da agência;</t>
        </is>
      </c>
      <c r="H556" s="6" t="n"/>
      <c r="I556" s="6" t="n"/>
      <c r="J556" s="6" t="n"/>
      <c r="K556" s="6" t="inlineStr">
        <is>
          <t>pendente</t>
        </is>
      </c>
      <c r="L556" s="6" t="n"/>
      <c r="M556" s="5">
        <f>IF(H556="SIM",1,0)</f>
        <v/>
      </c>
      <c r="N556" s="5">
        <f>IF(AND(H556="SIM",K556="validado",I556&lt;&gt;""),1,0)</f>
        <v/>
      </c>
    </row>
    <row r="557">
      <c r="A557" s="5" t="inlineStr">
        <is>
          <t>ANA</t>
        </is>
      </c>
      <c r="B557" s="5" t="inlineStr">
        <is>
          <t>AGE.MC.II</t>
        </is>
      </c>
      <c r="C557" s="5" t="inlineStr">
        <is>
          <t>AGE</t>
        </is>
      </c>
      <c r="D557" s="5" t="n">
        <v>4</v>
      </c>
      <c r="E557" s="5" t="inlineStr">
        <is>
          <t>Melhoria Contínua</t>
        </is>
      </c>
      <c r="F557" s="5" t="inlineStr">
        <is>
          <t>II</t>
        </is>
      </c>
      <c r="G557" s="5" t="inlineStr">
        <is>
          <t>Os projetos da Agenda Regulatória estão aderentes ao planejamento estratégico vigente e estão correlacionados ao Plano de Gestão Anual;</t>
        </is>
      </c>
      <c r="H557" s="6" t="n"/>
      <c r="I557" s="6" t="n"/>
      <c r="J557" s="6" t="n"/>
      <c r="K557" s="6" t="inlineStr">
        <is>
          <t>pendente</t>
        </is>
      </c>
      <c r="L557" s="6" t="n"/>
      <c r="M557" s="5">
        <f>IF(H557="SIM",1,0)</f>
        <v/>
      </c>
      <c r="N557" s="5">
        <f>IF(AND(H557="SIM",K557="validado",I557&lt;&gt;""),1,0)</f>
        <v/>
      </c>
    </row>
    <row r="558">
      <c r="A558" s="5" t="inlineStr">
        <is>
          <t>ANA</t>
        </is>
      </c>
      <c r="B558" s="5" t="inlineStr">
        <is>
          <t>AGE.GER.II</t>
        </is>
      </c>
      <c r="C558" s="5" t="inlineStr">
        <is>
          <t>AGE</t>
        </is>
      </c>
      <c r="D558" s="5" t="n">
        <v>4</v>
      </c>
      <c r="E558" s="5" t="inlineStr">
        <is>
          <t>Gerenciado</t>
        </is>
      </c>
      <c r="F558" s="5" t="inlineStr">
        <is>
          <t>II</t>
        </is>
      </c>
      <c r="G558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558" s="6" t="n"/>
      <c r="I558" s="6" t="n"/>
      <c r="J558" s="6" t="n"/>
      <c r="K558" s="6" t="inlineStr">
        <is>
          <t>pendente</t>
        </is>
      </c>
      <c r="L558" s="6" t="n"/>
      <c r="M558" s="5">
        <f>IF(H558="SIM",1,0)</f>
        <v/>
      </c>
      <c r="N558" s="5">
        <f>IF(AND(H558="SIM",K558="validado",I558&lt;&gt;""),1,0)</f>
        <v/>
      </c>
    </row>
    <row r="559">
      <c r="A559" s="5" t="inlineStr">
        <is>
          <t>ANA</t>
        </is>
      </c>
      <c r="B559" s="5" t="inlineStr">
        <is>
          <t>AGE.INI.II</t>
        </is>
      </c>
      <c r="C559" s="5" t="inlineStr">
        <is>
          <t>AGE</t>
        </is>
      </c>
      <c r="D559" s="5" t="n">
        <v>4</v>
      </c>
      <c r="E559" s="5" t="inlineStr">
        <is>
          <t>Inicial</t>
        </is>
      </c>
      <c r="F559" s="5" t="inlineStr">
        <is>
          <t>II</t>
        </is>
      </c>
      <c r="G559" s="5" t="inlineStr">
        <is>
          <t>É avaliada a aderência da proposta de Agenda às políticas públicas.</t>
        </is>
      </c>
      <c r="H559" s="6" t="n"/>
      <c r="I559" s="6" t="n"/>
      <c r="J559" s="6" t="n"/>
      <c r="K559" s="6" t="inlineStr">
        <is>
          <t>pendente</t>
        </is>
      </c>
      <c r="L559" s="6" t="n"/>
      <c r="M559" s="5">
        <f>IF(H559="SIM",1,0)</f>
        <v/>
      </c>
      <c r="N559" s="5">
        <f>IF(AND(H559="SIM",K559="validado",I559&lt;&gt;""),1,0)</f>
        <v/>
      </c>
    </row>
    <row r="560">
      <c r="A560" s="5" t="inlineStr">
        <is>
          <t>ANA</t>
        </is>
      </c>
      <c r="B560" s="5" t="inlineStr">
        <is>
          <t>AGE.MC.III</t>
        </is>
      </c>
      <c r="C560" s="5" t="inlineStr">
        <is>
          <t>AGE</t>
        </is>
      </c>
      <c r="D560" s="5" t="n">
        <v>4</v>
      </c>
      <c r="E560" s="5" t="inlineStr">
        <is>
          <t>Melhoria Contínua</t>
        </is>
      </c>
      <c r="F560" s="5" t="inlineStr">
        <is>
          <t>III</t>
        </is>
      </c>
      <c r="G560" s="5" t="inlineStr">
        <is>
          <t>Cumprimento de, no mínimo, 80% da Agenda Regulatória;</t>
        </is>
      </c>
      <c r="H560" s="6" t="n"/>
      <c r="I560" s="6" t="n"/>
      <c r="J560" s="6" t="n"/>
      <c r="K560" s="6" t="inlineStr">
        <is>
          <t>pendente</t>
        </is>
      </c>
      <c r="L560" s="6" t="n"/>
      <c r="M560" s="5">
        <f>IF(H560="SIM",1,0)</f>
        <v/>
      </c>
      <c r="N560" s="5">
        <f>IF(AND(H560="SIM",K560="validado",I560&lt;&gt;""),1,0)</f>
        <v/>
      </c>
    </row>
    <row r="561">
      <c r="A561" s="5" t="inlineStr">
        <is>
          <t>ANA</t>
        </is>
      </c>
      <c r="B561" s="5" t="inlineStr">
        <is>
          <t>AGE.GER.III</t>
        </is>
      </c>
      <c r="C561" s="5" t="inlineStr">
        <is>
          <t>AGE</t>
        </is>
      </c>
      <c r="D561" s="5" t="n">
        <v>4</v>
      </c>
      <c r="E561" s="5" t="inlineStr">
        <is>
          <t>Gerenciado</t>
        </is>
      </c>
      <c r="F561" s="5" t="inlineStr">
        <is>
          <t>III</t>
        </is>
      </c>
      <c r="G561" s="5" t="inlineStr">
        <is>
          <t>Cumprimento de 50% a 79% da Agenda Regulatória;</t>
        </is>
      </c>
      <c r="H561" s="6" t="n"/>
      <c r="I561" s="6" t="n"/>
      <c r="J561" s="6" t="n"/>
      <c r="K561" s="6" t="inlineStr">
        <is>
          <t>pendente</t>
        </is>
      </c>
      <c r="L561" s="6" t="n"/>
      <c r="M561" s="5">
        <f>IF(H561="SIM",1,0)</f>
        <v/>
      </c>
      <c r="N561" s="5">
        <f>IF(AND(H561="SIM",K561="validado",I561&lt;&gt;""),1,0)</f>
        <v/>
      </c>
    </row>
    <row r="562">
      <c r="A562" s="5" t="inlineStr">
        <is>
          <t>ANA</t>
        </is>
      </c>
      <c r="B562" s="5" t="inlineStr">
        <is>
          <t>AGE.MC.IV</t>
        </is>
      </c>
      <c r="C562" s="5" t="inlineStr">
        <is>
          <t>AGE</t>
        </is>
      </c>
      <c r="D562" s="5" t="n">
        <v>4</v>
      </c>
      <c r="E562" s="5" t="inlineStr">
        <is>
          <t>Melhoria Contínua</t>
        </is>
      </c>
      <c r="F562" s="5" t="inlineStr">
        <is>
          <t>IV</t>
        </is>
      </c>
      <c r="G562" s="5" t="inlineStr">
        <is>
          <t>A execução da Agenda Regulatória é periodicamente monitorada e divulgada.</t>
        </is>
      </c>
      <c r="H562" s="6" t="n"/>
      <c r="I562" s="6" t="n"/>
      <c r="J562" s="6" t="n"/>
      <c r="K562" s="6" t="inlineStr">
        <is>
          <t>pendente</t>
        </is>
      </c>
      <c r="L562" s="6" t="n"/>
      <c r="M562" s="5">
        <f>IF(H562="SIM",1,0)</f>
        <v/>
      </c>
      <c r="N562" s="5">
        <f>IF(AND(H562="SIM",K562="validado",I562&lt;&gt;""),1,0)</f>
        <v/>
      </c>
    </row>
    <row r="563">
      <c r="A563" s="5" t="inlineStr">
        <is>
          <t>ANA</t>
        </is>
      </c>
      <c r="B563" s="5" t="inlineStr">
        <is>
          <t>AGE.GER.IV</t>
        </is>
      </c>
      <c r="C563" s="5" t="inlineStr">
        <is>
          <t>AGE</t>
        </is>
      </c>
      <c r="D563" s="5" t="n">
        <v>4</v>
      </c>
      <c r="E563" s="5" t="inlineStr">
        <is>
          <t>Gerenciado</t>
        </is>
      </c>
      <c r="F563" s="5" t="inlineStr">
        <is>
          <t>IV</t>
        </is>
      </c>
      <c r="G563" s="5" t="inlineStr">
        <is>
          <t>A execução da Agenda Regulatória é periodicamente monitorada.</t>
        </is>
      </c>
      <c r="H563" s="6" t="n"/>
      <c r="I563" s="6" t="n"/>
      <c r="J563" s="6" t="n"/>
      <c r="K563" s="6" t="inlineStr">
        <is>
          <t>pendente</t>
        </is>
      </c>
      <c r="L563" s="6" t="n"/>
      <c r="M563" s="5">
        <f>IF(H563="SIM",1,0)</f>
        <v/>
      </c>
      <c r="N563" s="5">
        <f>IF(AND(H563="SIM",K563="validado",I563&lt;&gt;""),1,0)</f>
        <v/>
      </c>
    </row>
    <row r="564">
      <c r="A564" s="5" t="inlineStr">
        <is>
          <t>ANA</t>
        </is>
      </c>
      <c r="B564" s="5" t="inlineStr">
        <is>
          <t>PRO.MC.I</t>
        </is>
      </c>
      <c r="C564" s="5" t="inlineStr">
        <is>
          <t>PRO</t>
        </is>
      </c>
      <c r="D564" s="5" t="n">
        <v>5</v>
      </c>
      <c r="E564" s="5" t="inlineStr">
        <is>
          <t>Melhoria Contínua</t>
        </is>
      </c>
      <c r="F564" s="5" t="inlineStr">
        <is>
          <t>I</t>
        </is>
      </c>
      <c r="G564" s="5" t="inlineStr">
        <is>
          <t>Indicadores de processo normativo estabelecidos e monitorados;</t>
        </is>
      </c>
      <c r="H564" s="6" t="n"/>
      <c r="I564" s="6" t="n"/>
      <c r="J564" s="6" t="n"/>
      <c r="K564" s="6" t="inlineStr">
        <is>
          <t>pendente</t>
        </is>
      </c>
      <c r="L564" s="6" t="n"/>
      <c r="M564" s="5">
        <f>IF(H564="SIM",1,0)</f>
        <v/>
      </c>
      <c r="N564" s="5">
        <f>IF(AND(H564="SIM",K564="validado",I564&lt;&gt;""),1,0)</f>
        <v/>
      </c>
    </row>
    <row r="565">
      <c r="A565" s="5" t="inlineStr">
        <is>
          <t>ANA</t>
        </is>
      </c>
      <c r="B565" s="5" t="inlineStr">
        <is>
          <t>PRO.GER.I</t>
        </is>
      </c>
      <c r="C565" s="5" t="inlineStr">
        <is>
          <t>PRO</t>
        </is>
      </c>
      <c r="D565" s="5" t="n">
        <v>5</v>
      </c>
      <c r="E565" s="5" t="inlineStr">
        <is>
          <t>Gerenciado</t>
        </is>
      </c>
      <c r="F565" s="5" t="inlineStr">
        <is>
          <t>I</t>
        </is>
      </c>
      <c r="G565" s="5" t="inlineStr">
        <is>
          <t>as intervenções de participação social estão claramente inseridas no processo.</t>
        </is>
      </c>
      <c r="H565" s="6" t="n"/>
      <c r="I565" s="6" t="n"/>
      <c r="J565" s="6" t="n"/>
      <c r="K565" s="6" t="inlineStr">
        <is>
          <t>pendente</t>
        </is>
      </c>
      <c r="L565" s="6" t="n"/>
      <c r="M565" s="5">
        <f>IF(H565="SIM",1,0)</f>
        <v/>
      </c>
      <c r="N565" s="5">
        <f>IF(AND(H565="SIM",K565="validado",I565&lt;&gt;""),1,0)</f>
        <v/>
      </c>
    </row>
    <row r="566">
      <c r="A566" s="5" t="inlineStr">
        <is>
          <t>ANA</t>
        </is>
      </c>
      <c r="B566" s="5" t="inlineStr">
        <is>
          <t>PRO.INI.I</t>
        </is>
      </c>
      <c r="C566" s="5" t="inlineStr">
        <is>
          <t>PRO</t>
        </is>
      </c>
      <c r="D566" s="5" t="n">
        <v>5</v>
      </c>
      <c r="E566" s="5" t="inlineStr">
        <is>
          <t>Inicial</t>
        </is>
      </c>
      <c r="F566" s="5" t="inlineStr">
        <is>
          <t>I</t>
        </is>
      </c>
      <c r="G566" s="5" t="inlineStr">
        <is>
          <t>O fluxo do processo normativo é formalizado de forma bem definida e clara;</t>
        </is>
      </c>
      <c r="H566" s="6" t="n"/>
      <c r="I566" s="6" t="n"/>
      <c r="J566" s="6" t="n"/>
      <c r="K566" s="6" t="inlineStr">
        <is>
          <t>pendente</t>
        </is>
      </c>
      <c r="L566" s="6" t="n"/>
      <c r="M566" s="5">
        <f>IF(H566="SIM",1,0)</f>
        <v/>
      </c>
      <c r="N566" s="5">
        <f>IF(AND(H566="SIM",K566="validado",I566&lt;&gt;""),1,0)</f>
        <v/>
      </c>
    </row>
    <row r="567">
      <c r="A567" s="5" t="inlineStr">
        <is>
          <t>ANA</t>
        </is>
      </c>
      <c r="B567" s="5" t="inlineStr">
        <is>
          <t>PRO.MC.II</t>
        </is>
      </c>
      <c r="C567" s="5" t="inlineStr">
        <is>
          <t>PRO</t>
        </is>
      </c>
      <c r="D567" s="5" t="n">
        <v>5</v>
      </c>
      <c r="E567" s="5" t="inlineStr">
        <is>
          <t>Melhoria Contínua</t>
        </is>
      </c>
      <c r="F567" s="5" t="inlineStr">
        <is>
          <t>II</t>
        </is>
      </c>
      <c r="G567" s="5" t="inlineStr">
        <is>
          <t>Há processo contínuo de avaliação e melhoria do processo normativo, utilizando o resultado dos indicadores.</t>
        </is>
      </c>
      <c r="H567" s="6" t="n"/>
      <c r="I567" s="6" t="n"/>
      <c r="J567" s="6" t="n"/>
      <c r="K567" s="6" t="inlineStr">
        <is>
          <t>pendente</t>
        </is>
      </c>
      <c r="L567" s="6" t="n"/>
      <c r="M567" s="5">
        <f>IF(H567="SIM",1,0)</f>
        <v/>
      </c>
      <c r="N567" s="5">
        <f>IF(AND(H567="SIM",K567="validado",I567&lt;&gt;""),1,0)</f>
        <v/>
      </c>
    </row>
    <row r="568">
      <c r="A568" s="5" t="inlineStr">
        <is>
          <t>ANA</t>
        </is>
      </c>
      <c r="B568" s="5" t="inlineStr">
        <is>
          <t>PRO.INI.II</t>
        </is>
      </c>
      <c r="C568" s="5" t="inlineStr">
        <is>
          <t>PRO</t>
        </is>
      </c>
      <c r="D568" s="5" t="n">
        <v>5</v>
      </c>
      <c r="E568" s="5" t="inlineStr">
        <is>
          <t>Inicial</t>
        </is>
      </c>
      <c r="F568" s="5" t="inlineStr">
        <is>
          <t>II</t>
        </is>
      </c>
      <c r="G568" s="5" t="inlineStr">
        <is>
          <t>As instâncias de aprovação estabelecidas são claras e formalizadas.</t>
        </is>
      </c>
      <c r="H568" s="6" t="n"/>
      <c r="I568" s="6" t="n"/>
      <c r="J568" s="6" t="n"/>
      <c r="K568" s="6" t="inlineStr">
        <is>
          <t>pendente</t>
        </is>
      </c>
      <c r="L568" s="6" t="n"/>
      <c r="M568" s="5">
        <f>IF(H568="SIM",1,0)</f>
        <v/>
      </c>
      <c r="N568" s="5">
        <f>IF(AND(H568="SIM",K568="validado",I568&lt;&gt;""),1,0)</f>
        <v/>
      </c>
    </row>
    <row r="569">
      <c r="A569" s="5" t="inlineStr">
        <is>
          <t>ANA</t>
        </is>
      </c>
      <c r="B569" s="5" t="inlineStr">
        <is>
          <t>ARR_CAP.MC.I</t>
        </is>
      </c>
      <c r="C569" s="5" t="inlineStr">
        <is>
          <t>ARR_CAP</t>
        </is>
      </c>
      <c r="D569" s="5" t="n">
        <v>6</v>
      </c>
      <c r="E569" s="5" t="inlineStr">
        <is>
          <t>Melhoria Contínua</t>
        </is>
      </c>
      <c r="F569" s="5" t="inlineStr">
        <is>
          <t>I</t>
        </is>
      </c>
      <c r="G569" s="5" t="inlineStr">
        <is>
          <t>Plano de capacitação formalizado e em execução, incluindo permanente reciclagem em ARR;</t>
        </is>
      </c>
      <c r="H569" s="6" t="n"/>
      <c r="I569" s="6" t="n"/>
      <c r="J569" s="6" t="n"/>
      <c r="K569" s="6" t="inlineStr">
        <is>
          <t>pendente</t>
        </is>
      </c>
      <c r="L569" s="6" t="n"/>
      <c r="M569" s="5">
        <f>IF(H569="SIM",1,0)</f>
        <v/>
      </c>
      <c r="N569" s="5">
        <f>IF(AND(H569="SIM",K569="validado",I569&lt;&gt;""),1,0)</f>
        <v/>
      </c>
    </row>
    <row r="570">
      <c r="A570" s="5" t="inlineStr">
        <is>
          <t>ANA</t>
        </is>
      </c>
      <c r="B570" s="5" t="inlineStr">
        <is>
          <t>ARR_CAP.GER.I</t>
        </is>
      </c>
      <c r="C570" s="5" t="inlineStr">
        <is>
          <t>ARR_CAP</t>
        </is>
      </c>
      <c r="D570" s="5" t="n">
        <v>6</v>
      </c>
      <c r="E570" s="5" t="inlineStr">
        <is>
          <t>Gerenciado</t>
        </is>
      </c>
      <c r="F570" s="5" t="inlineStr">
        <is>
          <t>I</t>
        </is>
      </c>
      <c r="G570" s="5" t="inlineStr">
        <is>
          <t>Capacitações institucionalizadas, sem um plano formalizado;</t>
        </is>
      </c>
      <c r="H570" s="6" t="n"/>
      <c r="I570" s="6" t="n"/>
      <c r="J570" s="6" t="n"/>
      <c r="K570" s="6" t="inlineStr">
        <is>
          <t>pendente</t>
        </is>
      </c>
      <c r="L570" s="6" t="n"/>
      <c r="M570" s="5">
        <f>IF(H570="SIM",1,0)</f>
        <v/>
      </c>
      <c r="N570" s="5">
        <f>IF(AND(H570="SIM",K570="validado",I570&lt;&gt;""),1,0)</f>
        <v/>
      </c>
    </row>
    <row r="571">
      <c r="A571" s="5" t="inlineStr">
        <is>
          <t>ANA</t>
        </is>
      </c>
      <c r="B571" s="5" t="inlineStr">
        <is>
          <t>ARR_CAP.INI.I</t>
        </is>
      </c>
      <c r="C571" s="5" t="inlineStr">
        <is>
          <t>ARR_CAP</t>
        </is>
      </c>
      <c r="D571" s="5" t="n">
        <v>6</v>
      </c>
      <c r="E571" s="5" t="inlineStr">
        <is>
          <t>Inicial</t>
        </is>
      </c>
      <c r="F571" s="5" t="inlineStr">
        <is>
          <t>I</t>
        </is>
      </c>
      <c r="G571" s="5" t="inlineStr">
        <is>
          <t>Capacitações não estão institucionalizadas;</t>
        </is>
      </c>
      <c r="H571" s="6" t="n"/>
      <c r="I571" s="6" t="n"/>
      <c r="J571" s="6" t="n"/>
      <c r="K571" s="6" t="inlineStr">
        <is>
          <t>pendente</t>
        </is>
      </c>
      <c r="L571" s="6" t="n"/>
      <c r="M571" s="5">
        <f>IF(H571="SIM",1,0)</f>
        <v/>
      </c>
      <c r="N571" s="5">
        <f>IF(AND(H571="SIM",K571="validado",I571&lt;&gt;""),1,0)</f>
        <v/>
      </c>
    </row>
    <row r="572">
      <c r="A572" s="5" t="inlineStr">
        <is>
          <t>ANA</t>
        </is>
      </c>
      <c r="B572" s="5" t="inlineStr">
        <is>
          <t>ARR_CAP.MC.II</t>
        </is>
      </c>
      <c r="C572" s="5" t="inlineStr">
        <is>
          <t>ARR_CAP</t>
        </is>
      </c>
      <c r="D572" s="5" t="n">
        <v>6</v>
      </c>
      <c r="E572" s="5" t="inlineStr">
        <is>
          <t>Melhoria Contínua</t>
        </is>
      </c>
      <c r="F572" s="5" t="inlineStr">
        <is>
          <t>II</t>
        </is>
      </c>
      <c r="G572" s="5" t="inlineStr">
        <is>
          <t>No mínimo, 75% dos servidores envolvidos em elaboração de regulação capacitados em ARR.</t>
        </is>
      </c>
      <c r="H572" s="6" t="n"/>
      <c r="I572" s="6" t="n"/>
      <c r="J572" s="6" t="n"/>
      <c r="K572" s="6" t="inlineStr">
        <is>
          <t>pendente</t>
        </is>
      </c>
      <c r="L572" s="6" t="n"/>
      <c r="M572" s="5">
        <f>IF(H572="SIM",1,0)</f>
        <v/>
      </c>
      <c r="N572" s="5">
        <f>IF(AND(H572="SIM",K572="validado",I572&lt;&gt;""),1,0)</f>
        <v/>
      </c>
    </row>
    <row r="573">
      <c r="A573" s="5" t="inlineStr">
        <is>
          <t>ANA</t>
        </is>
      </c>
      <c r="B573" s="5" t="inlineStr">
        <is>
          <t>ARR_CAP.GER.II</t>
        </is>
      </c>
      <c r="C573" s="5" t="inlineStr">
        <is>
          <t>ARR_CAP</t>
        </is>
      </c>
      <c r="D573" s="5" t="n">
        <v>6</v>
      </c>
      <c r="E573" s="5" t="inlineStr">
        <is>
          <t>Gerenciado</t>
        </is>
      </c>
      <c r="F573" s="5" t="inlineStr">
        <is>
          <t>II</t>
        </is>
      </c>
      <c r="G573" s="5" t="inlineStr">
        <is>
          <t>de 50% a 74% dos servidores envolvidos em elaboração de regulação capacitados em ARR;</t>
        </is>
      </c>
      <c r="H573" s="6" t="n"/>
      <c r="I573" s="6" t="n"/>
      <c r="J573" s="6" t="n"/>
      <c r="K573" s="6" t="inlineStr">
        <is>
          <t>pendente</t>
        </is>
      </c>
      <c r="L573" s="6" t="n"/>
      <c r="M573" s="5">
        <f>IF(H573="SIM",1,0)</f>
        <v/>
      </c>
      <c r="N573" s="5">
        <f>IF(AND(H573="SIM",K573="validado",I573&lt;&gt;""),1,0)</f>
        <v/>
      </c>
    </row>
    <row r="574">
      <c r="A574" s="5" t="inlineStr">
        <is>
          <t>ANA</t>
        </is>
      </c>
      <c r="B574" s="5" t="inlineStr">
        <is>
          <t>ARR_CAP.INI.II</t>
        </is>
      </c>
      <c r="C574" s="5" t="inlineStr">
        <is>
          <t>ARR_CAP</t>
        </is>
      </c>
      <c r="D574" s="5" t="n">
        <v>6</v>
      </c>
      <c r="E574" s="5" t="inlineStr">
        <is>
          <t>Inicial</t>
        </is>
      </c>
      <c r="F574" s="5" t="inlineStr">
        <is>
          <t>II</t>
        </is>
      </c>
      <c r="G574" s="5" t="inlineStr">
        <is>
          <t>de 25% a 49% dos servidores envolvidos em elaboração de regulação capacitados em ARR.</t>
        </is>
      </c>
      <c r="H574" s="6" t="n"/>
      <c r="I574" s="6" t="n"/>
      <c r="J574" s="6" t="n"/>
      <c r="K574" s="6" t="inlineStr">
        <is>
          <t>pendente</t>
        </is>
      </c>
      <c r="L574" s="6" t="n"/>
      <c r="M574" s="5">
        <f>IF(H574="SIM",1,0)</f>
        <v/>
      </c>
      <c r="N574" s="5">
        <f>IF(AND(H574="SIM",K574="validado",I574&lt;&gt;""),1,0)</f>
        <v/>
      </c>
    </row>
    <row r="575">
      <c r="A575" s="5" t="inlineStr">
        <is>
          <t>ANA</t>
        </is>
      </c>
      <c r="B575" s="5" t="inlineStr">
        <is>
          <t>ARR_MET.MC.I</t>
        </is>
      </c>
      <c r="C575" s="5" t="inlineStr">
        <is>
          <t>ARR_MET</t>
        </is>
      </c>
      <c r="D575" s="5" t="n">
        <v>6</v>
      </c>
      <c r="E575" s="5" t="inlineStr">
        <is>
          <t>Melhoria Contínua</t>
        </is>
      </c>
      <c r="F575" s="5" t="inlineStr">
        <is>
          <t>I</t>
        </is>
      </c>
      <c r="G575" s="5" t="inlineStr">
        <is>
          <t>Metodologia de elaboração de ARR contempla a participação social, conforme complexidade do ato;</t>
        </is>
      </c>
      <c r="H575" s="6" t="n"/>
      <c r="I575" s="6" t="n"/>
      <c r="J575" s="6" t="n"/>
      <c r="K575" s="6" t="inlineStr">
        <is>
          <t>pendente</t>
        </is>
      </c>
      <c r="L575" s="6" t="n"/>
      <c r="M575" s="5">
        <f>IF(H575="SIM",1,0)</f>
        <v/>
      </c>
      <c r="N575" s="5">
        <f>IF(AND(H575="SIM",K575="validado",I575&lt;&gt;""),1,0)</f>
        <v/>
      </c>
    </row>
    <row r="576">
      <c r="A576" s="5" t="inlineStr">
        <is>
          <t>ANA</t>
        </is>
      </c>
      <c r="B576" s="5" t="inlineStr">
        <is>
          <t>ARR_MET.GER.I</t>
        </is>
      </c>
      <c r="C576" s="5" t="inlineStr">
        <is>
          <t>ARR_MET</t>
        </is>
      </c>
      <c r="D576" s="5" t="n">
        <v>6</v>
      </c>
      <c r="E576" s="5" t="inlineStr">
        <is>
          <t>Gerenciado</t>
        </is>
      </c>
      <c r="F576" s="5" t="inlineStr">
        <is>
          <t>I</t>
        </is>
      </c>
      <c r="G576" s="5" t="inlineStr">
        <is>
          <t>Existência de manual ou ato normativo instituindo a aplicabilidade de ARR no órgão;</t>
        </is>
      </c>
      <c r="H576" s="6" t="n"/>
      <c r="I576" s="6" t="n"/>
      <c r="J576" s="6" t="n"/>
      <c r="K576" s="6" t="inlineStr">
        <is>
          <t>pendente</t>
        </is>
      </c>
      <c r="L576" s="6" t="n"/>
      <c r="M576" s="5">
        <f>IF(H576="SIM",1,0)</f>
        <v/>
      </c>
      <c r="N576" s="5">
        <f>IF(AND(H576="SIM",K576="validado",I576&lt;&gt;""),1,0)</f>
        <v/>
      </c>
    </row>
    <row r="577">
      <c r="A577" s="5" t="inlineStr">
        <is>
          <t>ANA</t>
        </is>
      </c>
      <c r="B577" s="5" t="inlineStr">
        <is>
          <t>ARR_MET.INI.I</t>
        </is>
      </c>
      <c r="C577" s="5" t="inlineStr">
        <is>
          <t>ARR_MET</t>
        </is>
      </c>
      <c r="D577" s="5" t="n">
        <v>6</v>
      </c>
      <c r="E577" s="5" t="inlineStr">
        <is>
          <t>Inicial</t>
        </is>
      </c>
      <c r="F577" s="5" t="inlineStr">
        <is>
          <t>I</t>
        </is>
      </c>
      <c r="G577" s="5" t="inlineStr">
        <is>
          <t>existe Agenda de ARR, conforme determinado no Decreto nº 10.411, de 2020.</t>
        </is>
      </c>
      <c r="H577" s="6" t="n"/>
      <c r="I577" s="6" t="n"/>
      <c r="J577" s="6" t="n"/>
      <c r="K577" s="6" t="inlineStr">
        <is>
          <t>pendente</t>
        </is>
      </c>
      <c r="L577" s="6" t="n"/>
      <c r="M577" s="5">
        <f>IF(H577="SIM",1,0)</f>
        <v/>
      </c>
      <c r="N577" s="5">
        <f>IF(AND(H577="SIM",K577="validado",I577&lt;&gt;""),1,0)</f>
        <v/>
      </c>
    </row>
    <row r="578">
      <c r="A578" s="5" t="inlineStr">
        <is>
          <t>ANA</t>
        </is>
      </c>
      <c r="B578" s="5" t="inlineStr">
        <is>
          <t>ARR_MET.MC.II</t>
        </is>
      </c>
      <c r="C578" s="5" t="inlineStr">
        <is>
          <t>ARR_MET</t>
        </is>
      </c>
      <c r="D578" s="5" t="n">
        <v>6</v>
      </c>
      <c r="E578" s="5" t="inlineStr">
        <is>
          <t>Melhoria Contínua</t>
        </is>
      </c>
      <c r="F578" s="5" t="inlineStr">
        <is>
          <t>II</t>
        </is>
      </c>
      <c r="G578" s="5" t="inlineStr">
        <is>
          <t>Existência de Agenda de ARR integrada com a Agenda Regulatória.</t>
        </is>
      </c>
      <c r="H578" s="6" t="n"/>
      <c r="I578" s="6" t="n"/>
      <c r="J578" s="6" t="n"/>
      <c r="K578" s="6" t="inlineStr">
        <is>
          <t>pendente</t>
        </is>
      </c>
      <c r="L578" s="6" t="n"/>
      <c r="M578" s="5">
        <f>IF(H578="SIM",1,0)</f>
        <v/>
      </c>
      <c r="N578" s="5">
        <f>IF(AND(H578="SIM",K578="validado",I578&lt;&gt;""),1,0)</f>
        <v/>
      </c>
    </row>
    <row r="579">
      <c r="A579" s="5" t="inlineStr">
        <is>
          <t>ANA</t>
        </is>
      </c>
      <c r="B579" s="5" t="inlineStr">
        <is>
          <t>ARR_MET.GER.II</t>
        </is>
      </c>
      <c r="C579" s="5" t="inlineStr">
        <is>
          <t>ARR_MET</t>
        </is>
      </c>
      <c r="D579" s="5" t="n">
        <v>6</v>
      </c>
      <c r="E579" s="5" t="inlineStr">
        <is>
          <t>Gerenciado</t>
        </is>
      </c>
      <c r="F579" s="5" t="inlineStr">
        <is>
          <t>II</t>
        </is>
      </c>
      <c r="G579" s="5" t="inlineStr">
        <is>
          <t>Metodologia de elaboração da Agenda de ARR contempla participação social.</t>
        </is>
      </c>
      <c r="H579" s="6" t="n"/>
      <c r="I579" s="6" t="n"/>
      <c r="J579" s="6" t="n"/>
      <c r="K579" s="6" t="inlineStr">
        <is>
          <t>pendente</t>
        </is>
      </c>
      <c r="L579" s="6" t="n"/>
      <c r="M579" s="5">
        <f>IF(H579="SIM",1,0)</f>
        <v/>
      </c>
      <c r="N579" s="5">
        <f>IF(AND(H579="SIM",K579="validado",I579&lt;&gt;""),1,0)</f>
        <v/>
      </c>
    </row>
    <row r="580">
      <c r="A580" s="5" t="inlineStr">
        <is>
          <t>ANA</t>
        </is>
      </c>
      <c r="B580" s="5" t="inlineStr">
        <is>
          <t>ARR_PRO.MC.I</t>
        </is>
      </c>
      <c r="C580" s="5" t="inlineStr">
        <is>
          <t>ARR_PRO</t>
        </is>
      </c>
      <c r="D580" s="5" t="n">
        <v>6</v>
      </c>
      <c r="E580" s="5" t="inlineStr">
        <is>
          <t>Melhoria Contínua</t>
        </is>
      </c>
      <c r="F580" s="5" t="inlineStr">
        <is>
          <t>I</t>
        </is>
      </c>
      <c r="G580" s="5" t="inlineStr">
        <is>
          <t>Há processo contínuo de avaliação e melhoria do processo de elaboração de ARR;</t>
        </is>
      </c>
      <c r="H580" s="6" t="n"/>
      <c r="I580" s="6" t="n"/>
      <c r="J580" s="6" t="n"/>
      <c r="K580" s="6" t="inlineStr">
        <is>
          <t>pendente</t>
        </is>
      </c>
      <c r="L580" s="6" t="n"/>
      <c r="M580" s="5">
        <f>IF(H580="SIM",1,0)</f>
        <v/>
      </c>
      <c r="N580" s="5">
        <f>IF(AND(H580="SIM",K580="validado",I580&lt;&gt;""),1,0)</f>
        <v/>
      </c>
    </row>
    <row r="581">
      <c r="A581" s="5" t="inlineStr">
        <is>
          <t>ANA</t>
        </is>
      </c>
      <c r="B581" s="5" t="inlineStr">
        <is>
          <t>ARR_PRO.GER.I</t>
        </is>
      </c>
      <c r="C581" s="5" t="inlineStr">
        <is>
          <t>ARR_PRO</t>
        </is>
      </c>
      <c r="D581" s="5" t="n">
        <v>6</v>
      </c>
      <c r="E581" s="5" t="inlineStr">
        <is>
          <t>Gerenciado</t>
        </is>
      </c>
      <c r="F581" s="5" t="inlineStr">
        <is>
          <t>I</t>
        </is>
      </c>
      <c r="G581" s="5" t="inlineStr">
        <is>
          <t>ARR é realizada conforme manual ou ato normativo;</t>
        </is>
      </c>
      <c r="H581" s="6" t="n"/>
      <c r="I581" s="6" t="n"/>
      <c r="J581" s="6" t="n"/>
      <c r="K581" s="6" t="inlineStr">
        <is>
          <t>pendente</t>
        </is>
      </c>
      <c r="L581" s="6" t="n"/>
      <c r="M581" s="5">
        <f>IF(H581="SIM",1,0)</f>
        <v/>
      </c>
      <c r="N581" s="5">
        <f>IF(AND(H581="SIM",K581="validado",I581&lt;&gt;""),1,0)</f>
        <v/>
      </c>
    </row>
    <row r="582">
      <c r="A582" s="5" t="inlineStr">
        <is>
          <t>ANA</t>
        </is>
      </c>
      <c r="B582" s="5" t="inlineStr">
        <is>
          <t>ARR_PRO.INI.I</t>
        </is>
      </c>
      <c r="C582" s="5" t="inlineStr">
        <is>
          <t>ARR_PRO</t>
        </is>
      </c>
      <c r="D582" s="5" t="n">
        <v>6</v>
      </c>
      <c r="E582" s="5" t="inlineStr">
        <is>
          <t>Inicial</t>
        </is>
      </c>
      <c r="F582" s="5" t="inlineStr">
        <is>
          <t>I</t>
        </is>
      </c>
      <c r="G582" s="5" t="inlineStr">
        <is>
          <t>Todas as ARRs são publicadas e acessíveis ao público na internet;</t>
        </is>
      </c>
      <c r="H582" s="6" t="n"/>
      <c r="I582" s="6" t="n"/>
      <c r="J582" s="6" t="n"/>
      <c r="K582" s="6" t="inlineStr">
        <is>
          <t>pendente</t>
        </is>
      </c>
      <c r="L582" s="6" t="n"/>
      <c r="M582" s="5">
        <f>IF(H582="SIM",1,0)</f>
        <v/>
      </c>
      <c r="N582" s="5">
        <f>IF(AND(H582="SIM",K582="validado",I582&lt;&gt;""),1,0)</f>
        <v/>
      </c>
    </row>
    <row r="583">
      <c r="A583" s="5" t="inlineStr">
        <is>
          <t>ANA</t>
        </is>
      </c>
      <c r="B583" s="5" t="inlineStr">
        <is>
          <t>ARR_PRO.MC.II</t>
        </is>
      </c>
      <c r="C583" s="5" t="inlineStr">
        <is>
          <t>ARR_PRO</t>
        </is>
      </c>
      <c r="D583" s="5" t="n">
        <v>6</v>
      </c>
      <c r="E583" s="5" t="inlineStr">
        <is>
          <t>Melhoria Contínua</t>
        </is>
      </c>
      <c r="F583" s="5" t="inlineStr">
        <is>
          <t>II</t>
        </is>
      </c>
      <c r="G583" s="5" t="inlineStr">
        <is>
          <t>A execução da Agenda de ARR é periodicamente monitorada e divulgada.</t>
        </is>
      </c>
      <c r="H583" s="6" t="n"/>
      <c r="I583" s="6" t="n"/>
      <c r="J583" s="6" t="n"/>
      <c r="K583" s="6" t="inlineStr">
        <is>
          <t>pendente</t>
        </is>
      </c>
      <c r="L583" s="6" t="n"/>
      <c r="M583" s="5">
        <f>IF(H583="SIM",1,0)</f>
        <v/>
      </c>
      <c r="N583" s="5">
        <f>IF(AND(H583="SIM",K583="validado",I583&lt;&gt;""),1,0)</f>
        <v/>
      </c>
    </row>
    <row r="584">
      <c r="A584" s="5" t="inlineStr">
        <is>
          <t>ANA</t>
        </is>
      </c>
      <c r="B584" s="5" t="inlineStr">
        <is>
          <t>ARR_PRO.GER.II</t>
        </is>
      </c>
      <c r="C584" s="5" t="inlineStr">
        <is>
          <t>ARR_PRO</t>
        </is>
      </c>
      <c r="D584" s="5" t="n">
        <v>6</v>
      </c>
      <c r="E584" s="5" t="inlineStr">
        <is>
          <t>Gerenciado</t>
        </is>
      </c>
      <c r="F584" s="5" t="inlineStr">
        <is>
          <t>II</t>
        </is>
      </c>
      <c r="G584" s="5" t="inlineStr">
        <is>
          <t>ARRs de alto impacto/alta complexidade foram submetidas à participação social.</t>
        </is>
      </c>
      <c r="H584" s="6" t="n"/>
      <c r="I584" s="6" t="n"/>
      <c r="J584" s="6" t="n"/>
      <c r="K584" s="6" t="inlineStr">
        <is>
          <t>pendente</t>
        </is>
      </c>
      <c r="L584" s="6" t="n"/>
      <c r="M584" s="5">
        <f>IF(H584="SIM",1,0)</f>
        <v/>
      </c>
      <c r="N584" s="5">
        <f>IF(AND(H584="SIM",K584="validado",I584&lt;&gt;""),1,0)</f>
        <v/>
      </c>
    </row>
    <row r="585">
      <c r="A585" s="5" t="inlineStr">
        <is>
          <t>ANA</t>
        </is>
      </c>
      <c r="B585" s="5" t="inlineStr">
        <is>
          <t>ARR_PRO.INI.II</t>
        </is>
      </c>
      <c r="C585" s="5" t="inlineStr">
        <is>
          <t>ARR_PRO</t>
        </is>
      </c>
      <c r="D585" s="5" t="n">
        <v>6</v>
      </c>
      <c r="E585" s="5" t="inlineStr">
        <is>
          <t>Inicial</t>
        </is>
      </c>
      <c r="F585" s="5" t="inlineStr">
        <is>
          <t>II</t>
        </is>
      </c>
      <c r="G585" s="5" t="inlineStr">
        <is>
          <t>A agenda de ARR está publicada no site do órgão.</t>
        </is>
      </c>
      <c r="H585" s="6" t="n"/>
      <c r="I585" s="6" t="n"/>
      <c r="J585" s="6" t="n"/>
      <c r="K585" s="6" t="inlineStr">
        <is>
          <t>pendente</t>
        </is>
      </c>
      <c r="L585" s="6" t="n"/>
      <c r="M585" s="5">
        <f>IF(H585="SIM",1,0)</f>
        <v/>
      </c>
      <c r="N585" s="5">
        <f>IF(AND(H585="SIM",K585="validado",I585&lt;&gt;""),1,0)</f>
        <v/>
      </c>
    </row>
    <row r="586">
      <c r="A586" s="5" t="inlineStr">
        <is>
          <t>ANS</t>
        </is>
      </c>
      <c r="B586" s="5" t="inlineStr">
        <is>
          <t>AIR_CAP.MC.I</t>
        </is>
      </c>
      <c r="C586" s="5" t="inlineStr">
        <is>
          <t>AIR_CAP</t>
        </is>
      </c>
      <c r="D586" s="5" t="n">
        <v>1</v>
      </c>
      <c r="E586" s="5" t="inlineStr">
        <is>
          <t>Melhoria Contínua</t>
        </is>
      </c>
      <c r="F586" s="5" t="inlineStr">
        <is>
          <t>I</t>
        </is>
      </c>
      <c r="G586" s="5" t="inlineStr">
        <is>
          <t>Plano de capacitação formalizado e em execução, incluindo permanente reciclagem em técnicas de AIR;</t>
        </is>
      </c>
      <c r="H586" s="6" t="n"/>
      <c r="I586" s="6" t="n"/>
      <c r="J586" s="6" t="n"/>
      <c r="K586" s="6" t="inlineStr">
        <is>
          <t>pendente</t>
        </is>
      </c>
      <c r="L586" s="6" t="n"/>
      <c r="M586" s="5">
        <f>IF(H586="SIM",1,0)</f>
        <v/>
      </c>
      <c r="N586" s="5">
        <f>IF(AND(H586="SIM",K586="validado",I586&lt;&gt;""),1,0)</f>
        <v/>
      </c>
    </row>
    <row r="587">
      <c r="A587" s="5" t="inlineStr">
        <is>
          <t>ANS</t>
        </is>
      </c>
      <c r="B587" s="5" t="inlineStr">
        <is>
          <t>AIR_CAP.GER.I</t>
        </is>
      </c>
      <c r="C587" s="5" t="inlineStr">
        <is>
          <t>AIR_CAP</t>
        </is>
      </c>
      <c r="D587" s="5" t="n">
        <v>1</v>
      </c>
      <c r="E587" s="5" t="inlineStr">
        <is>
          <t>Gerenciado</t>
        </is>
      </c>
      <c r="F587" s="5" t="inlineStr">
        <is>
          <t>I</t>
        </is>
      </c>
      <c r="G587" s="5" t="inlineStr">
        <is>
          <t>Capacitações em AIR estão institucionalizadas, sem um plano formalizado;</t>
        </is>
      </c>
      <c r="H587" s="6" t="n"/>
      <c r="I587" s="6" t="n"/>
      <c r="J587" s="6" t="n"/>
      <c r="K587" s="6" t="inlineStr">
        <is>
          <t>pendente</t>
        </is>
      </c>
      <c r="L587" s="6" t="n"/>
      <c r="M587" s="5">
        <f>IF(H587="SIM",1,0)</f>
        <v/>
      </c>
      <c r="N587" s="5">
        <f>IF(AND(H587="SIM",K587="validado",I587&lt;&gt;""),1,0)</f>
        <v/>
      </c>
    </row>
    <row r="588">
      <c r="A588" s="5" t="inlineStr">
        <is>
          <t>ANS</t>
        </is>
      </c>
      <c r="B588" s="5" t="inlineStr">
        <is>
          <t>AIR_CAP.INI.I</t>
        </is>
      </c>
      <c r="C588" s="5" t="inlineStr">
        <is>
          <t>AIR_CAP</t>
        </is>
      </c>
      <c r="D588" s="5" t="n">
        <v>1</v>
      </c>
      <c r="E588" s="5" t="inlineStr">
        <is>
          <t>Inicial</t>
        </is>
      </c>
      <c r="F588" s="5" t="inlineStr">
        <is>
          <t>I</t>
        </is>
      </c>
      <c r="G588" s="5" t="inlineStr">
        <is>
          <t>Capacitações em AIR não estão institucionalizadas;</t>
        </is>
      </c>
      <c r="H588" s="6" t="n"/>
      <c r="I588" s="6" t="n"/>
      <c r="J588" s="6" t="n"/>
      <c r="K588" s="6" t="inlineStr">
        <is>
          <t>pendente</t>
        </is>
      </c>
      <c r="L588" s="6" t="n"/>
      <c r="M588" s="5">
        <f>IF(H588="SIM",1,0)</f>
        <v/>
      </c>
      <c r="N588" s="5">
        <f>IF(AND(H588="SIM",K588="validado",I588&lt;&gt;""),1,0)</f>
        <v/>
      </c>
    </row>
    <row r="589">
      <c r="A589" s="5" t="inlineStr">
        <is>
          <t>ANS</t>
        </is>
      </c>
      <c r="B589" s="5" t="inlineStr">
        <is>
          <t>AIR_CAP.MC.II</t>
        </is>
      </c>
      <c r="C589" s="5" t="inlineStr">
        <is>
          <t>AIR_CAP</t>
        </is>
      </c>
      <c r="D589" s="5" t="n">
        <v>1</v>
      </c>
      <c r="E589" s="5" t="inlineStr">
        <is>
          <t>Melhoria Contínua</t>
        </is>
      </c>
      <c r="F589" s="5" t="inlineStr">
        <is>
          <t>II</t>
        </is>
      </c>
      <c r="G589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89" s="6" t="n"/>
      <c r="I589" s="6" t="n"/>
      <c r="J589" s="6" t="n"/>
      <c r="K589" s="6" t="inlineStr">
        <is>
          <t>pendente</t>
        </is>
      </c>
      <c r="L589" s="6" t="n"/>
      <c r="M589" s="5">
        <f>IF(H589="SIM",1,0)</f>
        <v/>
      </c>
      <c r="N589" s="5">
        <f>IF(AND(H589="SIM",K589="validado",I589&lt;&gt;""),1,0)</f>
        <v/>
      </c>
    </row>
    <row r="590">
      <c r="A590" s="5" t="inlineStr">
        <is>
          <t>ANS</t>
        </is>
      </c>
      <c r="B590" s="5" t="inlineStr">
        <is>
          <t>AIR_CAP.GER.II</t>
        </is>
      </c>
      <c r="C590" s="5" t="inlineStr">
        <is>
          <t>AIR_CAP</t>
        </is>
      </c>
      <c r="D590" s="5" t="n">
        <v>1</v>
      </c>
      <c r="E590" s="5" t="inlineStr">
        <is>
          <t>Gerenciado</t>
        </is>
      </c>
      <c r="F590" s="5" t="inlineStr">
        <is>
          <t>II</t>
        </is>
      </c>
      <c r="G590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590" s="6" t="n"/>
      <c r="I590" s="6" t="n"/>
      <c r="J590" s="6" t="n"/>
      <c r="K590" s="6" t="inlineStr">
        <is>
          <t>pendente</t>
        </is>
      </c>
      <c r="L590" s="6" t="n"/>
      <c r="M590" s="5">
        <f>IF(H590="SIM",1,0)</f>
        <v/>
      </c>
      <c r="N590" s="5">
        <f>IF(AND(H590="SIM",K590="validado",I590&lt;&gt;""),1,0)</f>
        <v/>
      </c>
    </row>
    <row r="591">
      <c r="A591" s="5" t="inlineStr">
        <is>
          <t>ANS</t>
        </is>
      </c>
      <c r="B591" s="5" t="inlineStr">
        <is>
          <t>AIR_CAP.INI.II</t>
        </is>
      </c>
      <c r="C591" s="5" t="inlineStr">
        <is>
          <t>AIR_CAP</t>
        </is>
      </c>
      <c r="D591" s="5" t="n">
        <v>1</v>
      </c>
      <c r="E591" s="5" t="inlineStr">
        <is>
          <t>Inicial</t>
        </is>
      </c>
      <c r="F591" s="5" t="inlineStr">
        <is>
          <t>II</t>
        </is>
      </c>
      <c r="G591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591" s="6" t="n"/>
      <c r="I591" s="6" t="n"/>
      <c r="J591" s="6" t="n"/>
      <c r="K591" s="6" t="inlineStr">
        <is>
          <t>pendente</t>
        </is>
      </c>
      <c r="L591" s="6" t="n"/>
      <c r="M591" s="5">
        <f>IF(H591="SIM",1,0)</f>
        <v/>
      </c>
      <c r="N591" s="5">
        <f>IF(AND(H591="SIM",K591="validado",I591&lt;&gt;""),1,0)</f>
        <v/>
      </c>
    </row>
    <row r="592">
      <c r="A592" s="5" t="inlineStr">
        <is>
          <t>ANS</t>
        </is>
      </c>
      <c r="B592" s="5" t="inlineStr">
        <is>
          <t>AIR_CAP.MC.III</t>
        </is>
      </c>
      <c r="C592" s="5" t="inlineStr">
        <is>
          <t>AIR_CAP</t>
        </is>
      </c>
      <c r="D592" s="5" t="n">
        <v>1</v>
      </c>
      <c r="E592" s="5" t="inlineStr">
        <is>
          <t>Melhoria Contínua</t>
        </is>
      </c>
      <c r="F592" s="5" t="inlineStr">
        <is>
          <t>III</t>
        </is>
      </c>
      <c r="G592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92" s="6" t="n"/>
      <c r="I592" s="6" t="n"/>
      <c r="J592" s="6" t="n"/>
      <c r="K592" s="6" t="inlineStr">
        <is>
          <t>pendente</t>
        </is>
      </c>
      <c r="L592" s="6" t="n"/>
      <c r="M592" s="5">
        <f>IF(H592="SIM",1,0)</f>
        <v/>
      </c>
      <c r="N592" s="5">
        <f>IF(AND(H592="SIM",K592="validado",I592&lt;&gt;""),1,0)</f>
        <v/>
      </c>
    </row>
    <row r="593">
      <c r="A593" s="5" t="inlineStr">
        <is>
          <t>ANS</t>
        </is>
      </c>
      <c r="B593" s="5" t="inlineStr">
        <is>
          <t>AIR_CAP.GER.III</t>
        </is>
      </c>
      <c r="C593" s="5" t="inlineStr">
        <is>
          <t>AIR_CAP</t>
        </is>
      </c>
      <c r="D593" s="5" t="n">
        <v>1</v>
      </c>
      <c r="E593" s="5" t="inlineStr">
        <is>
          <t>Gerenciado</t>
        </is>
      </c>
      <c r="F593" s="5" t="inlineStr">
        <is>
          <t>III</t>
        </is>
      </c>
      <c r="G593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593" s="6" t="n"/>
      <c r="I593" s="6" t="n"/>
      <c r="J593" s="6" t="n"/>
      <c r="K593" s="6" t="inlineStr">
        <is>
          <t>pendente</t>
        </is>
      </c>
      <c r="L593" s="6" t="n"/>
      <c r="M593" s="5">
        <f>IF(H593="SIM",1,0)</f>
        <v/>
      </c>
      <c r="N593" s="5">
        <f>IF(AND(H593="SIM",K593="validado",I593&lt;&gt;""),1,0)</f>
        <v/>
      </c>
    </row>
    <row r="594">
      <c r="A594" s="5" t="inlineStr">
        <is>
          <t>ANS</t>
        </is>
      </c>
      <c r="B594" s="5" t="inlineStr">
        <is>
          <t>AIR_CAP.INI.III</t>
        </is>
      </c>
      <c r="C594" s="5" t="inlineStr">
        <is>
          <t>AIR_CAP</t>
        </is>
      </c>
      <c r="D594" s="5" t="n">
        <v>1</v>
      </c>
      <c r="E594" s="5" t="inlineStr">
        <is>
          <t>Inicial</t>
        </is>
      </c>
      <c r="F594" s="5" t="inlineStr">
        <is>
          <t>III</t>
        </is>
      </c>
      <c r="G594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594" s="6" t="n"/>
      <c r="I594" s="6" t="n"/>
      <c r="J594" s="6" t="n"/>
      <c r="K594" s="6" t="inlineStr">
        <is>
          <t>pendente</t>
        </is>
      </c>
      <c r="L594" s="6" t="n"/>
      <c r="M594" s="5">
        <f>IF(H594="SIM",1,0)</f>
        <v/>
      </c>
      <c r="N594" s="5">
        <f>IF(AND(H594="SIM",K594="validado",I594&lt;&gt;""),1,0)</f>
        <v/>
      </c>
    </row>
    <row r="595">
      <c r="A595" s="5" t="inlineStr">
        <is>
          <t>ANS</t>
        </is>
      </c>
      <c r="B595" s="5" t="inlineStr">
        <is>
          <t>AIR_CAP.GER.IV</t>
        </is>
      </c>
      <c r="C595" s="5" t="inlineStr">
        <is>
          <t>AIR_CAP</t>
        </is>
      </c>
      <c r="D595" s="5" t="n">
        <v>1</v>
      </c>
      <c r="E595" s="5" t="inlineStr">
        <is>
          <t>Gerenciado</t>
        </is>
      </c>
      <c r="F595" s="5" t="inlineStr">
        <is>
          <t>IV</t>
        </is>
      </c>
      <c r="G595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595" s="6" t="n"/>
      <c r="I595" s="6" t="n"/>
      <c r="J595" s="6" t="n"/>
      <c r="K595" s="6" t="inlineStr">
        <is>
          <t>pendente</t>
        </is>
      </c>
      <c r="L595" s="6" t="n"/>
      <c r="M595" s="5">
        <f>IF(H595="SIM",1,0)</f>
        <v/>
      </c>
      <c r="N595" s="5">
        <f>IF(AND(H595="SIM",K595="validado",I595&lt;&gt;""),1,0)</f>
        <v/>
      </c>
    </row>
    <row r="596">
      <c r="A596" s="5" t="inlineStr">
        <is>
          <t>ANS</t>
        </is>
      </c>
      <c r="B596" s="5" t="inlineStr">
        <is>
          <t>AIR_MET.MC.I</t>
        </is>
      </c>
      <c r="C596" s="5" t="inlineStr">
        <is>
          <t>AIR_MET</t>
        </is>
      </c>
      <c r="D596" s="5" t="n">
        <v>1</v>
      </c>
      <c r="E596" s="5" t="inlineStr">
        <is>
          <t>Melhoria Contínua</t>
        </is>
      </c>
      <c r="F596" s="5" t="inlineStr">
        <is>
          <t>I</t>
        </is>
      </c>
      <c r="G596" s="5" t="inlineStr">
        <is>
          <t>Critérios objetivos estabelecidos para classificação quanto ao nível de impacto e complexidade da AIR;</t>
        </is>
      </c>
      <c r="H596" s="6" t="n"/>
      <c r="I596" s="6" t="n"/>
      <c r="J596" s="6" t="n"/>
      <c r="K596" s="6" t="inlineStr">
        <is>
          <t>pendente</t>
        </is>
      </c>
      <c r="L596" s="6" t="n"/>
      <c r="M596" s="5">
        <f>IF(H596="SIM",1,0)</f>
        <v/>
      </c>
      <c r="N596" s="5">
        <f>IF(AND(H596="SIM",K596="validado",I596&lt;&gt;""),1,0)</f>
        <v/>
      </c>
    </row>
    <row r="597">
      <c r="A597" s="5" t="inlineStr">
        <is>
          <t>ANS</t>
        </is>
      </c>
      <c r="B597" s="5" t="inlineStr">
        <is>
          <t>AIR_MET.GER.I</t>
        </is>
      </c>
      <c r="C597" s="5" t="inlineStr">
        <is>
          <t>AIR_MET</t>
        </is>
      </c>
      <c r="D597" s="5" t="n">
        <v>1</v>
      </c>
      <c r="E597" s="5" t="inlineStr">
        <is>
          <t>Gerenciado</t>
        </is>
      </c>
      <c r="F597" s="5" t="inlineStr">
        <is>
          <t>I</t>
        </is>
      </c>
      <c r="G597" s="5" t="inlineStr">
        <is>
          <t>Existência de manual ou ato normativo interno instituindo a aplicabilidade institucional da AIR;</t>
        </is>
      </c>
      <c r="H597" s="6" t="n"/>
      <c r="I597" s="6" t="n"/>
      <c r="J597" s="6" t="n"/>
      <c r="K597" s="6" t="inlineStr">
        <is>
          <t>pendente</t>
        </is>
      </c>
      <c r="L597" s="6" t="n"/>
      <c r="M597" s="5">
        <f>IF(H597="SIM",1,0)</f>
        <v/>
      </c>
      <c r="N597" s="5">
        <f>IF(AND(H597="SIM",K597="validado",I597&lt;&gt;""),1,0)</f>
        <v/>
      </c>
    </row>
    <row r="598">
      <c r="A598" s="5" t="inlineStr">
        <is>
          <t>ANS</t>
        </is>
      </c>
      <c r="B598" s="5" t="inlineStr">
        <is>
          <t>AIR_MET.INI.I</t>
        </is>
      </c>
      <c r="C598" s="5" t="inlineStr">
        <is>
          <t>AIR_MET</t>
        </is>
      </c>
      <c r="D598" s="5" t="n">
        <v>1</v>
      </c>
      <c r="E598" s="5" t="inlineStr">
        <is>
          <t>Inicial</t>
        </is>
      </c>
      <c r="F598" s="5" t="inlineStr">
        <is>
          <t>I</t>
        </is>
      </c>
      <c r="G598" s="5" t="inlineStr">
        <is>
          <t>houve a publicação de normativo interno dispondo sobre a aplicação da AIR na instituição, conforme Decreto nº 10.411, de 2020.</t>
        </is>
      </c>
      <c r="H598" s="6" t="n"/>
      <c r="I598" s="6" t="n"/>
      <c r="J598" s="6" t="n"/>
      <c r="K598" s="6" t="inlineStr">
        <is>
          <t>pendente</t>
        </is>
      </c>
      <c r="L598" s="6" t="n"/>
      <c r="M598" s="5">
        <f>IF(H598="SIM",1,0)</f>
        <v/>
      </c>
      <c r="N598" s="5">
        <f>IF(AND(H598="SIM",K598="validado",I598&lt;&gt;""),1,0)</f>
        <v/>
      </c>
    </row>
    <row r="599">
      <c r="A599" s="5" t="inlineStr">
        <is>
          <t>ANS</t>
        </is>
      </c>
      <c r="B599" s="5" t="inlineStr">
        <is>
          <t>AIR_MET.MC.II</t>
        </is>
      </c>
      <c r="C599" s="5" t="inlineStr">
        <is>
          <t>AIR_MET</t>
        </is>
      </c>
      <c r="D599" s="5" t="n">
        <v>1</v>
      </c>
      <c r="E599" s="5" t="inlineStr">
        <is>
          <t>Melhoria Contínua</t>
        </is>
      </c>
      <c r="F599" s="5" t="inlineStr">
        <is>
          <t>II</t>
        </is>
      </c>
      <c r="G599" s="5" t="inlineStr">
        <is>
          <t>Metodologia contempla participação social prévia e posterior à elaboração da AIR, conforme complexidade do ato.</t>
        </is>
      </c>
      <c r="H599" s="6" t="n"/>
      <c r="I599" s="6" t="n"/>
      <c r="J599" s="6" t="n"/>
      <c r="K599" s="6" t="inlineStr">
        <is>
          <t>pendente</t>
        </is>
      </c>
      <c r="L599" s="6" t="n"/>
      <c r="M599" s="5">
        <f>IF(H599="SIM",1,0)</f>
        <v/>
      </c>
      <c r="N599" s="5">
        <f>IF(AND(H599="SIM",K599="validado",I599&lt;&gt;""),1,0)</f>
        <v/>
      </c>
    </row>
    <row r="600">
      <c r="A600" s="5" t="inlineStr">
        <is>
          <t>ANS</t>
        </is>
      </c>
      <c r="B600" s="5" t="inlineStr">
        <is>
          <t>AIR_MET.GER.II</t>
        </is>
      </c>
      <c r="C600" s="5" t="inlineStr">
        <is>
          <t>AIR_MET</t>
        </is>
      </c>
      <c r="D600" s="5" t="n">
        <v>1</v>
      </c>
      <c r="E600" s="5" t="inlineStr">
        <is>
          <t>Gerenciado</t>
        </is>
      </c>
      <c r="F600" s="5" t="inlineStr">
        <is>
          <t>II</t>
        </is>
      </c>
      <c r="G600" s="5" t="inlineStr">
        <is>
          <t>Existência de manual ou ato normativo dispondo sobre a participação social posterior relativa à AIR.</t>
        </is>
      </c>
      <c r="H600" s="6" t="n"/>
      <c r="I600" s="6" t="n"/>
      <c r="J600" s="6" t="n"/>
      <c r="K600" s="6" t="inlineStr">
        <is>
          <t>pendente</t>
        </is>
      </c>
      <c r="L600" s="6" t="n"/>
      <c r="M600" s="5">
        <f>IF(H600="SIM",1,0)</f>
        <v/>
      </c>
      <c r="N600" s="5">
        <f>IF(AND(H600="SIM",K600="validado",I600&lt;&gt;""),1,0)</f>
        <v/>
      </c>
    </row>
    <row r="601">
      <c r="A601" s="5" t="inlineStr">
        <is>
          <t>ANS</t>
        </is>
      </c>
      <c r="B601" s="5" t="inlineStr">
        <is>
          <t>AIR_PRO.MC.I</t>
        </is>
      </c>
      <c r="C601" s="5" t="inlineStr">
        <is>
          <t>AIR_PRO</t>
        </is>
      </c>
      <c r="D601" s="5" t="n">
        <v>1</v>
      </c>
      <c r="E601" s="5" t="inlineStr">
        <is>
          <t>Melhoria Contínua</t>
        </is>
      </c>
      <c r="F601" s="5" t="inlineStr">
        <is>
          <t>I</t>
        </is>
      </c>
      <c r="G601" s="5" t="inlineStr">
        <is>
          <t>Há processo contínuo de avaliação e melhoria do processo de elaboração de AIR;</t>
        </is>
      </c>
      <c r="H601" s="6" t="n"/>
      <c r="I601" s="6" t="n"/>
      <c r="J601" s="6" t="n"/>
      <c r="K601" s="6" t="inlineStr">
        <is>
          <t>pendente</t>
        </is>
      </c>
      <c r="L601" s="6" t="n"/>
      <c r="M601" s="5">
        <f>IF(H601="SIM",1,0)</f>
        <v/>
      </c>
      <c r="N601" s="5">
        <f>IF(AND(H601="SIM",K601="validado",I601&lt;&gt;""),1,0)</f>
        <v/>
      </c>
    </row>
    <row r="602">
      <c r="A602" s="5" t="inlineStr">
        <is>
          <t>ANS</t>
        </is>
      </c>
      <c r="B602" s="5" t="inlineStr">
        <is>
          <t>AIR_PRO.GER.I</t>
        </is>
      </c>
      <c r="C602" s="5" t="inlineStr">
        <is>
          <t>AIR_PRO</t>
        </is>
      </c>
      <c r="D602" s="5" t="n">
        <v>1</v>
      </c>
      <c r="E602" s="5" t="inlineStr">
        <is>
          <t>Gerenciado</t>
        </is>
      </c>
      <c r="F602" s="5" t="inlineStr">
        <is>
          <t>I</t>
        </is>
      </c>
      <c r="G602" s="5" t="inlineStr">
        <is>
          <t>Todas as AIRs são sempre realizadas conforme manual ou ato normativo interno e publicadas e acessíveis ao público na internet;</t>
        </is>
      </c>
      <c r="H602" s="6" t="n"/>
      <c r="I602" s="6" t="n"/>
      <c r="J602" s="6" t="n"/>
      <c r="K602" s="6" t="inlineStr">
        <is>
          <t>pendente</t>
        </is>
      </c>
      <c r="L602" s="6" t="n"/>
      <c r="M602" s="5">
        <f>IF(H602="SIM",1,0)</f>
        <v/>
      </c>
      <c r="N602" s="5">
        <f>IF(AND(H602="SIM",K602="validado",I602&lt;&gt;""),1,0)</f>
        <v/>
      </c>
    </row>
    <row r="603">
      <c r="A603" s="5" t="inlineStr">
        <is>
          <t>ANS</t>
        </is>
      </c>
      <c r="B603" s="5" t="inlineStr">
        <is>
          <t>AIR_PRO.INI.I</t>
        </is>
      </c>
      <c r="C603" s="5" t="inlineStr">
        <is>
          <t>AIR_PRO</t>
        </is>
      </c>
      <c r="D603" s="5" t="n">
        <v>1</v>
      </c>
      <c r="E603" s="5" t="inlineStr">
        <is>
          <t>Inicial</t>
        </is>
      </c>
      <c r="F603" s="5" t="inlineStr">
        <is>
          <t>I</t>
        </is>
      </c>
      <c r="G603" s="5" t="inlineStr">
        <is>
          <t>AIR é sempre realizada e a dispensa justificada, conforme critérios objetivos estabelecidos, conforme Decreto nº 10.411, de 2020;</t>
        </is>
      </c>
      <c r="H603" s="6" t="n"/>
      <c r="I603" s="6" t="n"/>
      <c r="J603" s="6" t="n"/>
      <c r="K603" s="6" t="inlineStr">
        <is>
          <t>pendente</t>
        </is>
      </c>
      <c r="L603" s="6" t="n"/>
      <c r="M603" s="5">
        <f>IF(H603="SIM",1,0)</f>
        <v/>
      </c>
      <c r="N603" s="5">
        <f>IF(AND(H603="SIM",K603="validado",I603&lt;&gt;""),1,0)</f>
        <v/>
      </c>
    </row>
    <row r="604">
      <c r="A604" s="5" t="inlineStr">
        <is>
          <t>ANS</t>
        </is>
      </c>
      <c r="B604" s="5" t="inlineStr">
        <is>
          <t>AIR_PRO.MC.II</t>
        </is>
      </c>
      <c r="C604" s="5" t="inlineStr">
        <is>
          <t>AIR_PRO</t>
        </is>
      </c>
      <c r="D604" s="5" t="n">
        <v>1</v>
      </c>
      <c r="E604" s="5" t="inlineStr">
        <is>
          <t>Melhoria Contínua</t>
        </is>
      </c>
      <c r="F604" s="5" t="inlineStr">
        <is>
          <t>II</t>
        </is>
      </c>
      <c r="G604" s="5" t="inlineStr">
        <is>
          <t>Existência de instrumento de avaliação de qualidade das AIRs realizadas;</t>
        </is>
      </c>
      <c r="H604" s="6" t="n"/>
      <c r="I604" s="6" t="n"/>
      <c r="J604" s="6" t="n"/>
      <c r="K604" s="6" t="inlineStr">
        <is>
          <t>pendente</t>
        </is>
      </c>
      <c r="L604" s="6" t="n"/>
      <c r="M604" s="5">
        <f>IF(H604="SIM",1,0)</f>
        <v/>
      </c>
      <c r="N604" s="5">
        <f>IF(AND(H604="SIM",K604="validado",I604&lt;&gt;""),1,0)</f>
        <v/>
      </c>
    </row>
    <row r="605">
      <c r="A605" s="5" t="inlineStr">
        <is>
          <t>ANS</t>
        </is>
      </c>
      <c r="B605" s="5" t="inlineStr">
        <is>
          <t>AIR_PRO.GER.II</t>
        </is>
      </c>
      <c r="C605" s="5" t="inlineStr">
        <is>
          <t>AIR_PRO</t>
        </is>
      </c>
      <c r="D605" s="5" t="n">
        <v>1</v>
      </c>
      <c r="E605" s="5" t="inlineStr">
        <is>
          <t>Gerenciado</t>
        </is>
      </c>
      <c r="F605" s="5" t="inlineStr">
        <is>
          <t>II</t>
        </is>
      </c>
      <c r="G605" s="5" t="inlineStr">
        <is>
          <t>O processo de elaboração de AIR está mapeado na instituição;</t>
        </is>
      </c>
      <c r="H605" s="6" t="n"/>
      <c r="I605" s="6" t="n"/>
      <c r="J605" s="6" t="n"/>
      <c r="K605" s="6" t="inlineStr">
        <is>
          <t>pendente</t>
        </is>
      </c>
      <c r="L605" s="6" t="n"/>
      <c r="M605" s="5">
        <f>IF(H605="SIM",1,0)</f>
        <v/>
      </c>
      <c r="N605" s="5">
        <f>IF(AND(H605="SIM",K605="validado",I605&lt;&gt;""),1,0)</f>
        <v/>
      </c>
    </row>
    <row r="606">
      <c r="A606" s="5" t="inlineStr">
        <is>
          <t>ANS</t>
        </is>
      </c>
      <c r="B606" s="5" t="inlineStr">
        <is>
          <t>AIR_PRO.INI.II</t>
        </is>
      </c>
      <c r="C606" s="5" t="inlineStr">
        <is>
          <t>AIR_PRO</t>
        </is>
      </c>
      <c r="D606" s="5" t="n">
        <v>1</v>
      </c>
      <c r="E606" s="5" t="inlineStr">
        <is>
          <t>Inicial</t>
        </is>
      </c>
      <c r="F606" s="5" t="inlineStr">
        <is>
          <t>II</t>
        </is>
      </c>
      <c r="G606" s="5" t="inlineStr">
        <is>
          <t>Todas as AIRs são publicadas e acessíveis ao público na internet;</t>
        </is>
      </c>
      <c r="H606" s="6" t="n"/>
      <c r="I606" s="6" t="n"/>
      <c r="J606" s="6" t="n"/>
      <c r="K606" s="6" t="inlineStr">
        <is>
          <t>pendente</t>
        </is>
      </c>
      <c r="L606" s="6" t="n"/>
      <c r="M606" s="5">
        <f>IF(H606="SIM",1,0)</f>
        <v/>
      </c>
      <c r="N606" s="5">
        <f>IF(AND(H606="SIM",K606="validado",I606&lt;&gt;""),1,0)</f>
        <v/>
      </c>
    </row>
    <row r="607">
      <c r="A607" s="5" t="inlineStr">
        <is>
          <t>ANS</t>
        </is>
      </c>
      <c r="B607" s="5" t="inlineStr">
        <is>
          <t>AIR_PRO.MC.III</t>
        </is>
      </c>
      <c r="C607" s="5" t="inlineStr">
        <is>
          <t>AIR_PRO</t>
        </is>
      </c>
      <c r="D607" s="5" t="n">
        <v>1</v>
      </c>
      <c r="E607" s="5" t="inlineStr">
        <is>
          <t>Melhoria Contínua</t>
        </is>
      </c>
      <c r="F607" s="5" t="inlineStr">
        <is>
          <t>III</t>
        </is>
      </c>
      <c r="G607" s="5" t="inlineStr">
        <is>
          <t>As AIRs de alto impacto/alta complexidade são submetidas à participação social prévia e posterior.</t>
        </is>
      </c>
      <c r="H607" s="6" t="n"/>
      <c r="I607" s="6" t="n"/>
      <c r="J607" s="6" t="n"/>
      <c r="K607" s="6" t="inlineStr">
        <is>
          <t>pendente</t>
        </is>
      </c>
      <c r="L607" s="6" t="n"/>
      <c r="M607" s="5">
        <f>IF(H607="SIM",1,0)</f>
        <v/>
      </c>
      <c r="N607" s="5">
        <f>IF(AND(H607="SIM",K607="validado",I607&lt;&gt;""),1,0)</f>
        <v/>
      </c>
    </row>
    <row r="608">
      <c r="A608" s="5" t="inlineStr">
        <is>
          <t>ANS</t>
        </is>
      </c>
      <c r="B608" s="5" t="inlineStr">
        <is>
          <t>AIR_PRO.GER.III</t>
        </is>
      </c>
      <c r="C608" s="5" t="inlineStr">
        <is>
          <t>AIR_PRO</t>
        </is>
      </c>
      <c r="D608" s="5" t="n">
        <v>1</v>
      </c>
      <c r="E608" s="5" t="inlineStr">
        <is>
          <t>Gerenciado</t>
        </is>
      </c>
      <c r="F608" s="5" t="inlineStr">
        <is>
          <t>III</t>
        </is>
      </c>
      <c r="G608" s="5" t="inlineStr">
        <is>
          <t>As AIRs são objeto de participação social posterior, conforme decisão técnica.</t>
        </is>
      </c>
      <c r="H608" s="6" t="n"/>
      <c r="I608" s="6" t="n"/>
      <c r="J608" s="6" t="n"/>
      <c r="K608" s="6" t="inlineStr">
        <is>
          <t>pendente</t>
        </is>
      </c>
      <c r="L608" s="6" t="n"/>
      <c r="M608" s="5">
        <f>IF(H608="SIM",1,0)</f>
        <v/>
      </c>
      <c r="N608" s="5">
        <f>IF(AND(H608="SIM",K608="validado",I608&lt;&gt;""),1,0)</f>
        <v/>
      </c>
    </row>
    <row r="609">
      <c r="A609" s="5" t="inlineStr">
        <is>
          <t>ANS</t>
        </is>
      </c>
      <c r="B609" s="5" t="inlineStr">
        <is>
          <t>AIR_PRO.INI.III</t>
        </is>
      </c>
      <c r="C609" s="5" t="inlineStr">
        <is>
          <t>AIR_PRO</t>
        </is>
      </c>
      <c r="D609" s="5" t="n">
        <v>1</v>
      </c>
      <c r="E609" s="5" t="inlineStr">
        <is>
          <t>Inicial</t>
        </is>
      </c>
      <c r="F609" s="5" t="inlineStr">
        <is>
          <t>III</t>
        </is>
      </c>
      <c r="G609" s="5" t="inlineStr">
        <is>
          <t>Participação Social é realizada, conforme Decreto nº 10.411, de 2020.</t>
        </is>
      </c>
      <c r="H609" s="6" t="n"/>
      <c r="I609" s="6" t="n"/>
      <c r="J609" s="6" t="n"/>
      <c r="K609" s="6" t="inlineStr">
        <is>
          <t>pendente</t>
        </is>
      </c>
      <c r="L609" s="6" t="n"/>
      <c r="M609" s="5">
        <f>IF(H609="SIM",1,0)</f>
        <v/>
      </c>
      <c r="N609" s="5">
        <f>IF(AND(H609="SIM",K609="validado",I609&lt;&gt;""),1,0)</f>
        <v/>
      </c>
    </row>
    <row r="610">
      <c r="A610" s="5" t="inlineStr">
        <is>
          <t>ANS</t>
        </is>
      </c>
      <c r="B610" s="5" t="inlineStr">
        <is>
          <t>PS.MC.I</t>
        </is>
      </c>
      <c r="C610" s="5" t="inlineStr">
        <is>
          <t>PS</t>
        </is>
      </c>
      <c r="D610" s="5" t="n">
        <v>2</v>
      </c>
      <c r="E610" s="5" t="inlineStr">
        <is>
          <t>Melhoria Contínua</t>
        </is>
      </c>
      <c r="F610" s="5" t="inlineStr">
        <is>
          <t>I</t>
        </is>
      </c>
      <c r="G610" s="5" t="inlineStr">
        <is>
          <t>A instituição realiza eventos de participação social para a construção do conhecimento sobre dada matéria e para o desenvolvimento de propostas;</t>
        </is>
      </c>
      <c r="H610" s="6" t="n"/>
      <c r="I610" s="6" t="n"/>
      <c r="J610" s="6" t="n"/>
      <c r="K610" s="6" t="inlineStr">
        <is>
          <t>pendente</t>
        </is>
      </c>
      <c r="L610" s="6" t="n"/>
      <c r="M610" s="5">
        <f>IF(H610="SIM",1,0)</f>
        <v/>
      </c>
      <c r="N610" s="5">
        <f>IF(AND(H610="SIM",K610="validado",I610&lt;&gt;""),1,0)</f>
        <v/>
      </c>
    </row>
    <row r="611">
      <c r="A611" s="5" t="inlineStr">
        <is>
          <t>ANS</t>
        </is>
      </c>
      <c r="B611" s="5" t="inlineStr">
        <is>
          <t>PS.GER.I</t>
        </is>
      </c>
      <c r="C611" s="5" t="inlineStr">
        <is>
          <t>PS</t>
        </is>
      </c>
      <c r="D611" s="5" t="n">
        <v>2</v>
      </c>
      <c r="E611" s="5" t="inlineStr">
        <is>
          <t>Gerenciado</t>
        </is>
      </c>
      <c r="F611" s="5" t="inlineStr">
        <is>
          <t>I</t>
        </is>
      </c>
      <c r="G611" s="5" t="inlineStr">
        <is>
          <t>Existência de manual ou ato normativo interno instituindo metodologia e procedimento de participação social;</t>
        </is>
      </c>
      <c r="H611" s="6" t="n"/>
      <c r="I611" s="6" t="n"/>
      <c r="J611" s="6" t="n"/>
      <c r="K611" s="6" t="inlineStr">
        <is>
          <t>pendente</t>
        </is>
      </c>
      <c r="L611" s="6" t="n"/>
      <c r="M611" s="5">
        <f>IF(H611="SIM",1,0)</f>
        <v/>
      </c>
      <c r="N611" s="5">
        <f>IF(AND(H611="SIM",K611="validado",I611&lt;&gt;""),1,0)</f>
        <v/>
      </c>
    </row>
    <row r="612">
      <c r="A612" s="5" t="inlineStr">
        <is>
          <t>ANS</t>
        </is>
      </c>
      <c r="B612" s="5" t="inlineStr">
        <is>
          <t>PS.INI.I</t>
        </is>
      </c>
      <c r="C612" s="5" t="inlineStr">
        <is>
          <t>PS</t>
        </is>
      </c>
      <c r="D612" s="5" t="n">
        <v>2</v>
      </c>
      <c r="E612" s="5" t="inlineStr">
        <is>
          <t>Inicial</t>
        </is>
      </c>
      <c r="F612" s="5" t="inlineStr">
        <is>
          <t>I</t>
        </is>
      </c>
      <c r="G612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612" s="6" t="n"/>
      <c r="I612" s="6" t="n"/>
      <c r="J612" s="6" t="n"/>
      <c r="K612" s="6" t="inlineStr">
        <is>
          <t>pendente</t>
        </is>
      </c>
      <c r="L612" s="6" t="n"/>
      <c r="M612" s="5">
        <f>IF(H612="SIM",1,0)</f>
        <v/>
      </c>
      <c r="N612" s="5">
        <f>IF(AND(H612="SIM",K612="validado",I612&lt;&gt;""),1,0)</f>
        <v/>
      </c>
    </row>
    <row r="613">
      <c r="A613" s="5" t="inlineStr">
        <is>
          <t>ANS</t>
        </is>
      </c>
      <c r="B613" s="5" t="inlineStr">
        <is>
          <t>PS.MC.II</t>
        </is>
      </c>
      <c r="C613" s="5" t="inlineStr">
        <is>
          <t>PS</t>
        </is>
      </c>
      <c r="D613" s="5" t="n">
        <v>2</v>
      </c>
      <c r="E613" s="5" t="inlineStr">
        <is>
          <t>Melhoria Contínua</t>
        </is>
      </c>
      <c r="F613" s="5" t="inlineStr">
        <is>
          <t>II</t>
        </is>
      </c>
      <c r="G613" s="5" t="inlineStr">
        <is>
          <t>Relatórios da Ouvidoria, relatórios do portal consumidor.gov, pesquisas de satisfação e dados de atendimento são utilizados para subsidiar as decisões regulatórias;</t>
        </is>
      </c>
      <c r="H613" s="6" t="n"/>
      <c r="I613" s="6" t="n"/>
      <c r="J613" s="6" t="n"/>
      <c r="K613" s="6" t="inlineStr">
        <is>
          <t>pendente</t>
        </is>
      </c>
      <c r="L613" s="6" t="n"/>
      <c r="M613" s="5">
        <f>IF(H613="SIM",1,0)</f>
        <v/>
      </c>
      <c r="N613" s="5">
        <f>IF(AND(H613="SIM",K613="validado",I613&lt;&gt;""),1,0)</f>
        <v/>
      </c>
    </row>
    <row r="614">
      <c r="A614" s="5" t="inlineStr">
        <is>
          <t>ANS</t>
        </is>
      </c>
      <c r="B614" s="5" t="inlineStr">
        <is>
          <t>PS.GER.II</t>
        </is>
      </c>
      <c r="C614" s="5" t="inlineStr">
        <is>
          <t>PS</t>
        </is>
      </c>
      <c r="D614" s="5" t="n">
        <v>2</v>
      </c>
      <c r="E614" s="5" t="inlineStr">
        <is>
          <t>Gerenciado</t>
        </is>
      </c>
      <c r="F614" s="5" t="inlineStr">
        <is>
          <t>II</t>
        </is>
      </c>
      <c r="G614" s="5" t="inlineStr">
        <is>
          <t>Os relatórios da Ouvidoria e os relatórios do portal consumidor.gov são utilizados para subsidiar as decisões regulatórias;</t>
        </is>
      </c>
      <c r="H614" s="6" t="n"/>
      <c r="I614" s="6" t="n"/>
      <c r="J614" s="6" t="n"/>
      <c r="K614" s="6" t="inlineStr">
        <is>
          <t>pendente</t>
        </is>
      </c>
      <c r="L614" s="6" t="n"/>
      <c r="M614" s="5">
        <f>IF(H614="SIM",1,0)</f>
        <v/>
      </c>
      <c r="N614" s="5">
        <f>IF(AND(H614="SIM",K614="validado",I614&lt;&gt;""),1,0)</f>
        <v/>
      </c>
    </row>
    <row r="615">
      <c r="A615" s="5" t="inlineStr">
        <is>
          <t>ANS</t>
        </is>
      </c>
      <c r="B615" s="5" t="inlineStr">
        <is>
          <t>PS.MC.III</t>
        </is>
      </c>
      <c r="C615" s="5" t="inlineStr">
        <is>
          <t>PS</t>
        </is>
      </c>
      <c r="D615" s="5" t="n">
        <v>2</v>
      </c>
      <c r="E615" s="5" t="inlineStr">
        <is>
          <t>Melhoria Contínua</t>
        </is>
      </c>
      <c r="F615" s="5" t="inlineStr">
        <is>
          <t>III</t>
        </is>
      </c>
      <c r="G615" s="5" t="inlineStr">
        <is>
          <t>Todos os instrumentos, processos e relatórios contendo as contribuições analisadas são divulgados no portal do órgão e/ou plataforma Participa Mais Brasil;</t>
        </is>
      </c>
      <c r="H615" s="6" t="n"/>
      <c r="I615" s="6" t="n"/>
      <c r="J615" s="6" t="n"/>
      <c r="K615" s="6" t="inlineStr">
        <is>
          <t>pendente</t>
        </is>
      </c>
      <c r="L615" s="6" t="n"/>
      <c r="M615" s="5">
        <f>IF(H615="SIM",1,0)</f>
        <v/>
      </c>
      <c r="N615" s="5">
        <f>IF(AND(H615="SIM",K615="validado",I615&lt;&gt;""),1,0)</f>
        <v/>
      </c>
    </row>
    <row r="616">
      <c r="A616" s="5" t="inlineStr">
        <is>
          <t>ANS</t>
        </is>
      </c>
      <c r="B616" s="5" t="inlineStr">
        <is>
          <t>PS.GER.III</t>
        </is>
      </c>
      <c r="C616" s="5" t="inlineStr">
        <is>
          <t>PS</t>
        </is>
      </c>
      <c r="D616" s="5" t="n">
        <v>2</v>
      </c>
      <c r="E616" s="5" t="inlineStr">
        <is>
          <t>Gerenciado</t>
        </is>
      </c>
      <c r="F616" s="5" t="inlineStr">
        <is>
          <t>III</t>
        </is>
      </c>
      <c r="G616" s="5" t="inlineStr">
        <is>
          <t>Todas as informações relativas aos processos em andamento são divulgadas no portal do órgão e/ou plataforma Participa Mais Brasil;</t>
        </is>
      </c>
      <c r="H616" s="6" t="n"/>
      <c r="I616" s="6" t="n"/>
      <c r="J616" s="6" t="n"/>
      <c r="K616" s="6" t="inlineStr">
        <is>
          <t>pendente</t>
        </is>
      </c>
      <c r="L616" s="6" t="n"/>
      <c r="M616" s="5">
        <f>IF(H616="SIM",1,0)</f>
        <v/>
      </c>
      <c r="N616" s="5">
        <f>IF(AND(H616="SIM",K616="validado",I616&lt;&gt;""),1,0)</f>
        <v/>
      </c>
    </row>
    <row r="617">
      <c r="A617" s="5" t="inlineStr">
        <is>
          <t>ANS</t>
        </is>
      </c>
      <c r="B617" s="5" t="inlineStr">
        <is>
          <t>PS.MC.IV</t>
        </is>
      </c>
      <c r="C617" s="5" t="inlineStr">
        <is>
          <t>PS</t>
        </is>
      </c>
      <c r="D617" s="5" t="n">
        <v>2</v>
      </c>
      <c r="E617" s="5" t="inlineStr">
        <is>
          <t>Melhoria Contínua</t>
        </is>
      </c>
      <c r="F617" s="5" t="inlineStr">
        <is>
          <t>IV</t>
        </is>
      </c>
      <c r="G617" s="5" t="inlineStr">
        <is>
          <t>A efetividade do evento de participação social é mensurada, conforme metodologia instituída.</t>
        </is>
      </c>
      <c r="H617" s="6" t="n"/>
      <c r="I617" s="6" t="n"/>
      <c r="J617" s="6" t="n"/>
      <c r="K617" s="6" t="inlineStr">
        <is>
          <t>pendente</t>
        </is>
      </c>
      <c r="L617" s="6" t="n"/>
      <c r="M617" s="5">
        <f>IF(H617="SIM",1,0)</f>
        <v/>
      </c>
      <c r="N617" s="5">
        <f>IF(AND(H617="SIM",K617="validado",I617&lt;&gt;""),1,0)</f>
        <v/>
      </c>
    </row>
    <row r="618">
      <c r="A618" s="5" t="inlineStr">
        <is>
          <t>ANS</t>
        </is>
      </c>
      <c r="B618" s="5" t="inlineStr">
        <is>
          <t>PS.GER.IV</t>
        </is>
      </c>
      <c r="C618" s="5" t="inlineStr">
        <is>
          <t>PS</t>
        </is>
      </c>
      <c r="D618" s="5" t="n">
        <v>2</v>
      </c>
      <c r="E618" s="5" t="inlineStr">
        <is>
          <t>Gerenciado</t>
        </is>
      </c>
      <c r="F618" s="5" t="inlineStr">
        <is>
          <t>IV</t>
        </is>
      </c>
      <c r="G618" s="5" t="inlineStr">
        <is>
          <t>A efetividade do evento de participação social é avaliada de forma intuitiva.</t>
        </is>
      </c>
      <c r="H618" s="6" t="n"/>
      <c r="I618" s="6" t="n"/>
      <c r="J618" s="6" t="n"/>
      <c r="K618" s="6" t="inlineStr">
        <is>
          <t>pendente</t>
        </is>
      </c>
      <c r="L618" s="6" t="n"/>
      <c r="M618" s="5">
        <f>IF(H618="SIM",1,0)</f>
        <v/>
      </c>
      <c r="N618" s="5">
        <f>IF(AND(H618="SIM",K618="validado",I618&lt;&gt;""),1,0)</f>
        <v/>
      </c>
    </row>
    <row r="619">
      <c r="A619" s="5" t="inlineStr">
        <is>
          <t>ANS</t>
        </is>
      </c>
      <c r="B619" s="5" t="inlineStr">
        <is>
          <t>EST.MC.I</t>
        </is>
      </c>
      <c r="C619" s="5" t="inlineStr">
        <is>
          <t>EST</t>
        </is>
      </c>
      <c r="D619" s="5" t="n">
        <v>3</v>
      </c>
      <c r="E619" s="5" t="inlineStr">
        <is>
          <t>Melhoria Contínua</t>
        </is>
      </c>
      <c r="F619" s="5" t="inlineStr">
        <is>
          <t>I</t>
        </is>
      </c>
      <c r="G619" s="5" t="inlineStr">
        <is>
          <t>As alterações do estoque regulatório da instituição são priorizadas por meio de uma agenda regulatória;</t>
        </is>
      </c>
      <c r="H619" s="6" t="n"/>
      <c r="I619" s="6" t="n"/>
      <c r="J619" s="6" t="n"/>
      <c r="K619" s="6" t="inlineStr">
        <is>
          <t>pendente</t>
        </is>
      </c>
      <c r="L619" s="6" t="n"/>
      <c r="M619" s="5">
        <f>IF(H619="SIM",1,0)</f>
        <v/>
      </c>
      <c r="N619" s="5">
        <f>IF(AND(H619="SIM",K619="validado",I619&lt;&gt;""),1,0)</f>
        <v/>
      </c>
    </row>
    <row r="620">
      <c r="A620" s="5" t="inlineStr">
        <is>
          <t>ANS</t>
        </is>
      </c>
      <c r="B620" s="5" t="inlineStr">
        <is>
          <t>EST.GER.I</t>
        </is>
      </c>
      <c r="C620" s="5" t="inlineStr">
        <is>
          <t>EST</t>
        </is>
      </c>
      <c r="D620" s="5" t="n">
        <v>3</v>
      </c>
      <c r="E620" s="5" t="inlineStr">
        <is>
          <t>Gerenciado</t>
        </is>
      </c>
      <c r="F620" s="5" t="inlineStr">
        <is>
          <t>I</t>
        </is>
      </c>
      <c r="G620" s="5" t="inlineStr">
        <is>
          <t>Normas publicadas e disponíveis de maneira sistematizada para consulta pública no portal gov.br;</t>
        </is>
      </c>
      <c r="H620" s="6" t="n"/>
      <c r="I620" s="6" t="n"/>
      <c r="J620" s="6" t="n"/>
      <c r="K620" s="6" t="inlineStr">
        <is>
          <t>pendente</t>
        </is>
      </c>
      <c r="L620" s="6" t="n"/>
      <c r="M620" s="5">
        <f>IF(H620="SIM",1,0)</f>
        <v/>
      </c>
      <c r="N620" s="5">
        <f>IF(AND(H620="SIM",K620="validado",I620&lt;&gt;""),1,0)</f>
        <v/>
      </c>
    </row>
    <row r="621">
      <c r="A621" s="5" t="inlineStr">
        <is>
          <t>ANS</t>
        </is>
      </c>
      <c r="B621" s="5" t="inlineStr">
        <is>
          <t>EST.INI.I</t>
        </is>
      </c>
      <c r="C621" s="5" t="inlineStr">
        <is>
          <t>EST</t>
        </is>
      </c>
      <c r="D621" s="5" t="n">
        <v>3</v>
      </c>
      <c r="E621" s="5" t="inlineStr">
        <is>
          <t>Inicial</t>
        </is>
      </c>
      <c r="F621" s="5" t="inlineStr">
        <is>
          <t>I</t>
        </is>
      </c>
      <c r="G621" s="5" t="inlineStr">
        <is>
          <t>Normas publicadas e disponíveis de maneira sistematizada para consulta pública na internet;</t>
        </is>
      </c>
      <c r="H621" s="6" t="n"/>
      <c r="I621" s="6" t="n"/>
      <c r="J621" s="6" t="n"/>
      <c r="K621" s="6" t="inlineStr">
        <is>
          <t>pendente</t>
        </is>
      </c>
      <c r="L621" s="6" t="n"/>
      <c r="M621" s="5">
        <f>IF(H621="SIM",1,0)</f>
        <v/>
      </c>
      <c r="N621" s="5">
        <f>IF(AND(H621="SIM",K621="validado",I621&lt;&gt;""),1,0)</f>
        <v/>
      </c>
    </row>
    <row r="622">
      <c r="A622" s="5" t="inlineStr">
        <is>
          <t>ANS</t>
        </is>
      </c>
      <c r="B622" s="5" t="inlineStr">
        <is>
          <t>EST.MC.II</t>
        </is>
      </c>
      <c r="C622" s="5" t="inlineStr">
        <is>
          <t>EST</t>
        </is>
      </c>
      <c r="D622" s="5" t="n">
        <v>3</v>
      </c>
      <c r="E622" s="5" t="inlineStr">
        <is>
          <t>Melhoria Contínua</t>
        </is>
      </c>
      <c r="F622" s="5" t="inlineStr">
        <is>
          <t>II</t>
        </is>
      </c>
      <c r="G622" s="5" t="inlineStr">
        <is>
          <t>Todas as novas normas passam pela análise de consolidação e compatibilização de normas vigentes.</t>
        </is>
      </c>
      <c r="H622" s="6" t="n"/>
      <c r="I622" s="6" t="n"/>
      <c r="J622" s="6" t="n"/>
      <c r="K622" s="6" t="inlineStr">
        <is>
          <t>pendente</t>
        </is>
      </c>
      <c r="L622" s="6" t="n"/>
      <c r="M622" s="5">
        <f>IF(H622="SIM",1,0)</f>
        <v/>
      </c>
      <c r="N622" s="5">
        <f>IF(AND(H622="SIM",K622="validado",I622&lt;&gt;""),1,0)</f>
        <v/>
      </c>
    </row>
    <row r="623">
      <c r="A623" s="5" t="inlineStr">
        <is>
          <t>ANS</t>
        </is>
      </c>
      <c r="B623" s="5" t="inlineStr">
        <is>
          <t>EST.GER.II</t>
        </is>
      </c>
      <c r="C623" s="5" t="inlineStr">
        <is>
          <t>EST</t>
        </is>
      </c>
      <c r="D623" s="5" t="n">
        <v>3</v>
      </c>
      <c r="E623" s="5" t="inlineStr">
        <is>
          <t>Gerenciado</t>
        </is>
      </c>
      <c r="F623" s="5" t="inlineStr">
        <is>
          <t>II</t>
        </is>
      </c>
      <c r="G623" s="5" t="inlineStr">
        <is>
          <t>Foi realizado levantamento quantitativo de todas as normas do órgão, bem como análise qualitativa, indexação e classificação por tema;</t>
        </is>
      </c>
      <c r="H623" s="6" t="n"/>
      <c r="I623" s="6" t="n"/>
      <c r="J623" s="6" t="n"/>
      <c r="K623" s="6" t="inlineStr">
        <is>
          <t>pendente</t>
        </is>
      </c>
      <c r="L623" s="6" t="n"/>
      <c r="M623" s="5">
        <f>IF(H623="SIM",1,0)</f>
        <v/>
      </c>
      <c r="N623" s="5">
        <f>IF(AND(H623="SIM",K623="validado",I623&lt;&gt;""),1,0)</f>
        <v/>
      </c>
    </row>
    <row r="624">
      <c r="A624" s="5" t="inlineStr">
        <is>
          <t>ANS</t>
        </is>
      </c>
      <c r="B624" s="5" t="inlineStr">
        <is>
          <t>EST.INI.II</t>
        </is>
      </c>
      <c r="C624" s="5" t="inlineStr">
        <is>
          <t>EST</t>
        </is>
      </c>
      <c r="D624" s="5" t="n">
        <v>3</v>
      </c>
      <c r="E624" s="5" t="inlineStr">
        <is>
          <t>Inicial</t>
        </is>
      </c>
      <c r="F624" s="5" t="inlineStr">
        <is>
          <t>II</t>
        </is>
      </c>
      <c r="G624" s="5" t="inlineStr">
        <is>
          <t>Foi realizado levantamento quantitativo de todas as normas do órgão.</t>
        </is>
      </c>
      <c r="H624" s="6" t="n"/>
      <c r="I624" s="6" t="n"/>
      <c r="J624" s="6" t="n"/>
      <c r="K624" s="6" t="inlineStr">
        <is>
          <t>pendente</t>
        </is>
      </c>
      <c r="L624" s="6" t="n"/>
      <c r="M624" s="5">
        <f>IF(H624="SIM",1,0)</f>
        <v/>
      </c>
      <c r="N624" s="5">
        <f>IF(AND(H624="SIM",K624="validado",I624&lt;&gt;""),1,0)</f>
        <v/>
      </c>
    </row>
    <row r="625">
      <c r="A625" s="5" t="inlineStr">
        <is>
          <t>ANS</t>
        </is>
      </c>
      <c r="B625" s="5" t="inlineStr">
        <is>
          <t>EST.GER.III</t>
        </is>
      </c>
      <c r="C625" s="5" t="inlineStr">
        <is>
          <t>EST</t>
        </is>
      </c>
      <c r="D625" s="5" t="n">
        <v>3</v>
      </c>
      <c r="E625" s="5" t="inlineStr">
        <is>
          <t>Gerenciado</t>
        </is>
      </c>
      <c r="F625" s="5" t="inlineStr">
        <is>
          <t>III</t>
        </is>
      </c>
      <c r="G625" s="5" t="inlineStr">
        <is>
          <t>Para toda a nova norma de alto impacto/alta complexidade foi estimado o fardo regulatório; e</t>
        </is>
      </c>
      <c r="H625" s="6" t="n"/>
      <c r="I625" s="6" t="n"/>
      <c r="J625" s="6" t="n"/>
      <c r="K625" s="6" t="inlineStr">
        <is>
          <t>pendente</t>
        </is>
      </c>
      <c r="L625" s="6" t="n"/>
      <c r="M625" s="5">
        <f>IF(H625="SIM",1,0)</f>
        <v/>
      </c>
      <c r="N625" s="5">
        <f>IF(AND(H625="SIM",K625="validado",I625&lt;&gt;""),1,0)</f>
        <v/>
      </c>
    </row>
    <row r="626">
      <c r="A626" s="5" t="inlineStr">
        <is>
          <t>ANS</t>
        </is>
      </c>
      <c r="B626" s="5" t="inlineStr">
        <is>
          <t>EST.GER.IV</t>
        </is>
      </c>
      <c r="C626" s="5" t="inlineStr">
        <is>
          <t>EST</t>
        </is>
      </c>
      <c r="D626" s="5" t="n">
        <v>3</v>
      </c>
      <c r="E626" s="5" t="inlineStr">
        <is>
          <t>Gerenciado</t>
        </is>
      </c>
      <c r="F626" s="5" t="inlineStr">
        <is>
          <t>IV</t>
        </is>
      </c>
      <c r="G626" s="5" t="inlineStr">
        <is>
          <t>Existe manutenção da consolidação normativa, conforme art. 19 do Decreto nº 10.139, de 28 de novembro de 2019.</t>
        </is>
      </c>
      <c r="H626" s="6" t="n"/>
      <c r="I626" s="6" t="n"/>
      <c r="J626" s="6" t="n"/>
      <c r="K626" s="6" t="inlineStr">
        <is>
          <t>pendente</t>
        </is>
      </c>
      <c r="L626" s="6" t="n"/>
      <c r="M626" s="5">
        <f>IF(H626="SIM",1,0)</f>
        <v/>
      </c>
      <c r="N626" s="5">
        <f>IF(AND(H626="SIM",K626="validado",I626&lt;&gt;""),1,0)</f>
        <v/>
      </c>
    </row>
    <row r="627">
      <c r="A627" s="5" t="inlineStr">
        <is>
          <t>ANS</t>
        </is>
      </c>
      <c r="B627" s="5" t="inlineStr">
        <is>
          <t>AGE.MC.I</t>
        </is>
      </c>
      <c r="C627" s="5" t="inlineStr">
        <is>
          <t>AGE</t>
        </is>
      </c>
      <c r="D627" s="5" t="n">
        <v>4</v>
      </c>
      <c r="E627" s="5" t="inlineStr">
        <is>
          <t>Melhoria Contínua</t>
        </is>
      </c>
      <c r="F627" s="5" t="inlineStr">
        <is>
          <t>I</t>
        </is>
      </c>
      <c r="G627" s="5" t="inlineStr">
        <is>
          <t>A elaboração da agenda regulatória tem ampla participação social, a qual é analisada, respondida e divulgada;</t>
        </is>
      </c>
      <c r="H627" s="6" t="n"/>
      <c r="I627" s="6" t="n"/>
      <c r="J627" s="6" t="n"/>
      <c r="K627" s="6" t="inlineStr">
        <is>
          <t>pendente</t>
        </is>
      </c>
      <c r="L627" s="6" t="n"/>
      <c r="M627" s="5">
        <f>IF(H627="SIM",1,0)</f>
        <v/>
      </c>
      <c r="N627" s="5">
        <f>IF(AND(H627="SIM",K627="validado",I627&lt;&gt;""),1,0)</f>
        <v/>
      </c>
    </row>
    <row r="628">
      <c r="A628" s="5" t="inlineStr">
        <is>
          <t>ANS</t>
        </is>
      </c>
      <c r="B628" s="5" t="inlineStr">
        <is>
          <t>AGE.GER.I</t>
        </is>
      </c>
      <c r="C628" s="5" t="inlineStr">
        <is>
          <t>AGE</t>
        </is>
      </c>
      <c r="D628" s="5" t="n">
        <v>4</v>
      </c>
      <c r="E628" s="5" t="inlineStr">
        <is>
          <t>Gerenciado</t>
        </is>
      </c>
      <c r="F628" s="5" t="inlineStr">
        <is>
          <t>I</t>
        </is>
      </c>
      <c r="G628" s="5" t="inlineStr">
        <is>
          <t>A elaboração da agenda regulatória tem ampla participação social, a qual é analisada, porém não respondida e divulgada;</t>
        </is>
      </c>
      <c r="H628" s="6" t="n"/>
      <c r="I628" s="6" t="n"/>
      <c r="J628" s="6" t="n"/>
      <c r="K628" s="6" t="inlineStr">
        <is>
          <t>pendente</t>
        </is>
      </c>
      <c r="L628" s="6" t="n"/>
      <c r="M628" s="5">
        <f>IF(H628="SIM",1,0)</f>
        <v/>
      </c>
      <c r="N628" s="5">
        <f>IF(AND(H628="SIM",K628="validado",I628&lt;&gt;""),1,0)</f>
        <v/>
      </c>
    </row>
    <row r="629">
      <c r="A629" s="5" t="inlineStr">
        <is>
          <t>ANS</t>
        </is>
      </c>
      <c r="B629" s="5" t="inlineStr">
        <is>
          <t>AGE.INI.I</t>
        </is>
      </c>
      <c r="C629" s="5" t="inlineStr">
        <is>
          <t>AGE</t>
        </is>
      </c>
      <c r="D629" s="5" t="n">
        <v>4</v>
      </c>
      <c r="E629" s="5" t="inlineStr">
        <is>
          <t>Inicial</t>
        </is>
      </c>
      <c r="F629" s="5" t="inlineStr">
        <is>
          <t>I</t>
        </is>
      </c>
      <c r="G629" s="5" t="inlineStr">
        <is>
          <t>Os temas da agenda regulatória são elencados e priorizados pelos gestores da agência;</t>
        </is>
      </c>
      <c r="H629" s="6" t="n"/>
      <c r="I629" s="6" t="n"/>
      <c r="J629" s="6" t="n"/>
      <c r="K629" s="6" t="inlineStr">
        <is>
          <t>pendente</t>
        </is>
      </c>
      <c r="L629" s="6" t="n"/>
      <c r="M629" s="5">
        <f>IF(H629="SIM",1,0)</f>
        <v/>
      </c>
      <c r="N629" s="5">
        <f>IF(AND(H629="SIM",K629="validado",I629&lt;&gt;""),1,0)</f>
        <v/>
      </c>
    </row>
    <row r="630">
      <c r="A630" s="5" t="inlineStr">
        <is>
          <t>ANS</t>
        </is>
      </c>
      <c r="B630" s="5" t="inlineStr">
        <is>
          <t>AGE.MC.II</t>
        </is>
      </c>
      <c r="C630" s="5" t="inlineStr">
        <is>
          <t>AGE</t>
        </is>
      </c>
      <c r="D630" s="5" t="n">
        <v>4</v>
      </c>
      <c r="E630" s="5" t="inlineStr">
        <is>
          <t>Melhoria Contínua</t>
        </is>
      </c>
      <c r="F630" s="5" t="inlineStr">
        <is>
          <t>II</t>
        </is>
      </c>
      <c r="G630" s="5" t="inlineStr">
        <is>
          <t>Os projetos da Agenda Regulatória estão aderentes ao planejamento estratégico vigente e estão correlacionados ao Plano de Gestão Anual;</t>
        </is>
      </c>
      <c r="H630" s="6" t="n"/>
      <c r="I630" s="6" t="n"/>
      <c r="J630" s="6" t="n"/>
      <c r="K630" s="6" t="inlineStr">
        <is>
          <t>pendente</t>
        </is>
      </c>
      <c r="L630" s="6" t="n"/>
      <c r="M630" s="5">
        <f>IF(H630="SIM",1,0)</f>
        <v/>
      </c>
      <c r="N630" s="5">
        <f>IF(AND(H630="SIM",K630="validado",I630&lt;&gt;""),1,0)</f>
        <v/>
      </c>
    </row>
    <row r="631">
      <c r="A631" s="5" t="inlineStr">
        <is>
          <t>ANS</t>
        </is>
      </c>
      <c r="B631" s="5" t="inlineStr">
        <is>
          <t>AGE.GER.II</t>
        </is>
      </c>
      <c r="C631" s="5" t="inlineStr">
        <is>
          <t>AGE</t>
        </is>
      </c>
      <c r="D631" s="5" t="n">
        <v>4</v>
      </c>
      <c r="E631" s="5" t="inlineStr">
        <is>
          <t>Gerenciado</t>
        </is>
      </c>
      <c r="F631" s="5" t="inlineStr">
        <is>
          <t>II</t>
        </is>
      </c>
      <c r="G631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631" s="6" t="n"/>
      <c r="I631" s="6" t="n"/>
      <c r="J631" s="6" t="n"/>
      <c r="K631" s="6" t="inlineStr">
        <is>
          <t>pendente</t>
        </is>
      </c>
      <c r="L631" s="6" t="n"/>
      <c r="M631" s="5">
        <f>IF(H631="SIM",1,0)</f>
        <v/>
      </c>
      <c r="N631" s="5">
        <f>IF(AND(H631="SIM",K631="validado",I631&lt;&gt;""),1,0)</f>
        <v/>
      </c>
    </row>
    <row r="632">
      <c r="A632" s="5" t="inlineStr">
        <is>
          <t>ANS</t>
        </is>
      </c>
      <c r="B632" s="5" t="inlineStr">
        <is>
          <t>AGE.INI.II</t>
        </is>
      </c>
      <c r="C632" s="5" t="inlineStr">
        <is>
          <t>AGE</t>
        </is>
      </c>
      <c r="D632" s="5" t="n">
        <v>4</v>
      </c>
      <c r="E632" s="5" t="inlineStr">
        <is>
          <t>Inicial</t>
        </is>
      </c>
      <c r="F632" s="5" t="inlineStr">
        <is>
          <t>II</t>
        </is>
      </c>
      <c r="G632" s="5" t="inlineStr">
        <is>
          <t>É avaliada a aderência da proposta de Agenda às políticas públicas.</t>
        </is>
      </c>
      <c r="H632" s="6" t="n"/>
      <c r="I632" s="6" t="n"/>
      <c r="J632" s="6" t="n"/>
      <c r="K632" s="6" t="inlineStr">
        <is>
          <t>pendente</t>
        </is>
      </c>
      <c r="L632" s="6" t="n"/>
      <c r="M632" s="5">
        <f>IF(H632="SIM",1,0)</f>
        <v/>
      </c>
      <c r="N632" s="5">
        <f>IF(AND(H632="SIM",K632="validado",I632&lt;&gt;""),1,0)</f>
        <v/>
      </c>
    </row>
    <row r="633">
      <c r="A633" s="5" t="inlineStr">
        <is>
          <t>ANS</t>
        </is>
      </c>
      <c r="B633" s="5" t="inlineStr">
        <is>
          <t>AGE.MC.III</t>
        </is>
      </c>
      <c r="C633" s="5" t="inlineStr">
        <is>
          <t>AGE</t>
        </is>
      </c>
      <c r="D633" s="5" t="n">
        <v>4</v>
      </c>
      <c r="E633" s="5" t="inlineStr">
        <is>
          <t>Melhoria Contínua</t>
        </is>
      </c>
      <c r="F633" s="5" t="inlineStr">
        <is>
          <t>III</t>
        </is>
      </c>
      <c r="G633" s="5" t="inlineStr">
        <is>
          <t>Cumprimento de, no mínimo, 80% da Agenda Regulatória;</t>
        </is>
      </c>
      <c r="H633" s="6" t="n"/>
      <c r="I633" s="6" t="n"/>
      <c r="J633" s="6" t="n"/>
      <c r="K633" s="6" t="inlineStr">
        <is>
          <t>pendente</t>
        </is>
      </c>
      <c r="L633" s="6" t="n"/>
      <c r="M633" s="5">
        <f>IF(H633="SIM",1,0)</f>
        <v/>
      </c>
      <c r="N633" s="5">
        <f>IF(AND(H633="SIM",K633="validado",I633&lt;&gt;""),1,0)</f>
        <v/>
      </c>
    </row>
    <row r="634">
      <c r="A634" s="5" t="inlineStr">
        <is>
          <t>ANS</t>
        </is>
      </c>
      <c r="B634" s="5" t="inlineStr">
        <is>
          <t>AGE.GER.III</t>
        </is>
      </c>
      <c r="C634" s="5" t="inlineStr">
        <is>
          <t>AGE</t>
        </is>
      </c>
      <c r="D634" s="5" t="n">
        <v>4</v>
      </c>
      <c r="E634" s="5" t="inlineStr">
        <is>
          <t>Gerenciado</t>
        </is>
      </c>
      <c r="F634" s="5" t="inlineStr">
        <is>
          <t>III</t>
        </is>
      </c>
      <c r="G634" s="5" t="inlineStr">
        <is>
          <t>Cumprimento de 50% a 79% da Agenda Regulatória;</t>
        </is>
      </c>
      <c r="H634" s="6" t="n"/>
      <c r="I634" s="6" t="n"/>
      <c r="J634" s="6" t="n"/>
      <c r="K634" s="6" t="inlineStr">
        <is>
          <t>pendente</t>
        </is>
      </c>
      <c r="L634" s="6" t="n"/>
      <c r="M634" s="5">
        <f>IF(H634="SIM",1,0)</f>
        <v/>
      </c>
      <c r="N634" s="5">
        <f>IF(AND(H634="SIM",K634="validado",I634&lt;&gt;""),1,0)</f>
        <v/>
      </c>
    </row>
    <row r="635">
      <c r="A635" s="5" t="inlineStr">
        <is>
          <t>ANS</t>
        </is>
      </c>
      <c r="B635" s="5" t="inlineStr">
        <is>
          <t>AGE.MC.IV</t>
        </is>
      </c>
      <c r="C635" s="5" t="inlineStr">
        <is>
          <t>AGE</t>
        </is>
      </c>
      <c r="D635" s="5" t="n">
        <v>4</v>
      </c>
      <c r="E635" s="5" t="inlineStr">
        <is>
          <t>Melhoria Contínua</t>
        </is>
      </c>
      <c r="F635" s="5" t="inlineStr">
        <is>
          <t>IV</t>
        </is>
      </c>
      <c r="G635" s="5" t="inlineStr">
        <is>
          <t>A execução da Agenda Regulatória é periodicamente monitorada e divulgada.</t>
        </is>
      </c>
      <c r="H635" s="6" t="n"/>
      <c r="I635" s="6" t="n"/>
      <c r="J635" s="6" t="n"/>
      <c r="K635" s="6" t="inlineStr">
        <is>
          <t>pendente</t>
        </is>
      </c>
      <c r="L635" s="6" t="n"/>
      <c r="M635" s="5">
        <f>IF(H635="SIM",1,0)</f>
        <v/>
      </c>
      <c r="N635" s="5">
        <f>IF(AND(H635="SIM",K635="validado",I635&lt;&gt;""),1,0)</f>
        <v/>
      </c>
    </row>
    <row r="636">
      <c r="A636" s="5" t="inlineStr">
        <is>
          <t>ANS</t>
        </is>
      </c>
      <c r="B636" s="5" t="inlineStr">
        <is>
          <t>AGE.GER.IV</t>
        </is>
      </c>
      <c r="C636" s="5" t="inlineStr">
        <is>
          <t>AGE</t>
        </is>
      </c>
      <c r="D636" s="5" t="n">
        <v>4</v>
      </c>
      <c r="E636" s="5" t="inlineStr">
        <is>
          <t>Gerenciado</t>
        </is>
      </c>
      <c r="F636" s="5" t="inlineStr">
        <is>
          <t>IV</t>
        </is>
      </c>
      <c r="G636" s="5" t="inlineStr">
        <is>
          <t>A execução da Agenda Regulatória é periodicamente monitorada.</t>
        </is>
      </c>
      <c r="H636" s="6" t="n"/>
      <c r="I636" s="6" t="n"/>
      <c r="J636" s="6" t="n"/>
      <c r="K636" s="6" t="inlineStr">
        <is>
          <t>pendente</t>
        </is>
      </c>
      <c r="L636" s="6" t="n"/>
      <c r="M636" s="5">
        <f>IF(H636="SIM",1,0)</f>
        <v/>
      </c>
      <c r="N636" s="5">
        <f>IF(AND(H636="SIM",K636="validado",I636&lt;&gt;""),1,0)</f>
        <v/>
      </c>
    </row>
    <row r="637">
      <c r="A637" s="5" t="inlineStr">
        <is>
          <t>ANS</t>
        </is>
      </c>
      <c r="B637" s="5" t="inlineStr">
        <is>
          <t>PRO.MC.I</t>
        </is>
      </c>
      <c r="C637" s="5" t="inlineStr">
        <is>
          <t>PRO</t>
        </is>
      </c>
      <c r="D637" s="5" t="n">
        <v>5</v>
      </c>
      <c r="E637" s="5" t="inlineStr">
        <is>
          <t>Melhoria Contínua</t>
        </is>
      </c>
      <c r="F637" s="5" t="inlineStr">
        <is>
          <t>I</t>
        </is>
      </c>
      <c r="G637" s="5" t="inlineStr">
        <is>
          <t>Indicadores de processo normativo estabelecidos e monitorados;</t>
        </is>
      </c>
      <c r="H637" s="6" t="n"/>
      <c r="I637" s="6" t="n"/>
      <c r="J637" s="6" t="n"/>
      <c r="K637" s="6" t="inlineStr">
        <is>
          <t>pendente</t>
        </is>
      </c>
      <c r="L637" s="6" t="n"/>
      <c r="M637" s="5">
        <f>IF(H637="SIM",1,0)</f>
        <v/>
      </c>
      <c r="N637" s="5">
        <f>IF(AND(H637="SIM",K637="validado",I637&lt;&gt;""),1,0)</f>
        <v/>
      </c>
    </row>
    <row r="638">
      <c r="A638" s="5" t="inlineStr">
        <is>
          <t>ANS</t>
        </is>
      </c>
      <c r="B638" s="5" t="inlineStr">
        <is>
          <t>PRO.GER.I</t>
        </is>
      </c>
      <c r="C638" s="5" t="inlineStr">
        <is>
          <t>PRO</t>
        </is>
      </c>
      <c r="D638" s="5" t="n">
        <v>5</v>
      </c>
      <c r="E638" s="5" t="inlineStr">
        <is>
          <t>Gerenciado</t>
        </is>
      </c>
      <c r="F638" s="5" t="inlineStr">
        <is>
          <t>I</t>
        </is>
      </c>
      <c r="G638" s="5" t="inlineStr">
        <is>
          <t>as intervenções de participação social estão claramente inseridas no processo.</t>
        </is>
      </c>
      <c r="H638" s="6" t="n"/>
      <c r="I638" s="6" t="n"/>
      <c r="J638" s="6" t="n"/>
      <c r="K638" s="6" t="inlineStr">
        <is>
          <t>pendente</t>
        </is>
      </c>
      <c r="L638" s="6" t="n"/>
      <c r="M638" s="5">
        <f>IF(H638="SIM",1,0)</f>
        <v/>
      </c>
      <c r="N638" s="5">
        <f>IF(AND(H638="SIM",K638="validado",I638&lt;&gt;""),1,0)</f>
        <v/>
      </c>
    </row>
    <row r="639">
      <c r="A639" s="5" t="inlineStr">
        <is>
          <t>ANS</t>
        </is>
      </c>
      <c r="B639" s="5" t="inlineStr">
        <is>
          <t>PRO.INI.I</t>
        </is>
      </c>
      <c r="C639" s="5" t="inlineStr">
        <is>
          <t>PRO</t>
        </is>
      </c>
      <c r="D639" s="5" t="n">
        <v>5</v>
      </c>
      <c r="E639" s="5" t="inlineStr">
        <is>
          <t>Inicial</t>
        </is>
      </c>
      <c r="F639" s="5" t="inlineStr">
        <is>
          <t>I</t>
        </is>
      </c>
      <c r="G639" s="5" t="inlineStr">
        <is>
          <t>O fluxo do processo normativo é formalizado de forma bem definida e clara;</t>
        </is>
      </c>
      <c r="H639" s="6" t="n"/>
      <c r="I639" s="6" t="n"/>
      <c r="J639" s="6" t="n"/>
      <c r="K639" s="6" t="inlineStr">
        <is>
          <t>pendente</t>
        </is>
      </c>
      <c r="L639" s="6" t="n"/>
      <c r="M639" s="5">
        <f>IF(H639="SIM",1,0)</f>
        <v/>
      </c>
      <c r="N639" s="5">
        <f>IF(AND(H639="SIM",K639="validado",I639&lt;&gt;""),1,0)</f>
        <v/>
      </c>
    </row>
    <row r="640">
      <c r="A640" s="5" t="inlineStr">
        <is>
          <t>ANS</t>
        </is>
      </c>
      <c r="B640" s="5" t="inlineStr">
        <is>
          <t>PRO.MC.II</t>
        </is>
      </c>
      <c r="C640" s="5" t="inlineStr">
        <is>
          <t>PRO</t>
        </is>
      </c>
      <c r="D640" s="5" t="n">
        <v>5</v>
      </c>
      <c r="E640" s="5" t="inlineStr">
        <is>
          <t>Melhoria Contínua</t>
        </is>
      </c>
      <c r="F640" s="5" t="inlineStr">
        <is>
          <t>II</t>
        </is>
      </c>
      <c r="G640" s="5" t="inlineStr">
        <is>
          <t>Há processo contínuo de avaliação e melhoria do processo normativo, utilizando o resultado dos indicadores.</t>
        </is>
      </c>
      <c r="H640" s="6" t="n"/>
      <c r="I640" s="6" t="n"/>
      <c r="J640" s="6" t="n"/>
      <c r="K640" s="6" t="inlineStr">
        <is>
          <t>pendente</t>
        </is>
      </c>
      <c r="L640" s="6" t="n"/>
      <c r="M640" s="5">
        <f>IF(H640="SIM",1,0)</f>
        <v/>
      </c>
      <c r="N640" s="5">
        <f>IF(AND(H640="SIM",K640="validado",I640&lt;&gt;""),1,0)</f>
        <v/>
      </c>
    </row>
    <row r="641">
      <c r="A641" s="5" t="inlineStr">
        <is>
          <t>ANS</t>
        </is>
      </c>
      <c r="B641" s="5" t="inlineStr">
        <is>
          <t>PRO.INI.II</t>
        </is>
      </c>
      <c r="C641" s="5" t="inlineStr">
        <is>
          <t>PRO</t>
        </is>
      </c>
      <c r="D641" s="5" t="n">
        <v>5</v>
      </c>
      <c r="E641" s="5" t="inlineStr">
        <is>
          <t>Inicial</t>
        </is>
      </c>
      <c r="F641" s="5" t="inlineStr">
        <is>
          <t>II</t>
        </is>
      </c>
      <c r="G641" s="5" t="inlineStr">
        <is>
          <t>As instâncias de aprovação estabelecidas são claras e formalizadas.</t>
        </is>
      </c>
      <c r="H641" s="6" t="n"/>
      <c r="I641" s="6" t="n"/>
      <c r="J641" s="6" t="n"/>
      <c r="K641" s="6" t="inlineStr">
        <is>
          <t>pendente</t>
        </is>
      </c>
      <c r="L641" s="6" t="n"/>
      <c r="M641" s="5">
        <f>IF(H641="SIM",1,0)</f>
        <v/>
      </c>
      <c r="N641" s="5">
        <f>IF(AND(H641="SIM",K641="validado",I641&lt;&gt;""),1,0)</f>
        <v/>
      </c>
    </row>
    <row r="642">
      <c r="A642" s="5" t="inlineStr">
        <is>
          <t>ANS</t>
        </is>
      </c>
      <c r="B642" s="5" t="inlineStr">
        <is>
          <t>ARR_CAP.MC.I</t>
        </is>
      </c>
      <c r="C642" s="5" t="inlineStr">
        <is>
          <t>ARR_CAP</t>
        </is>
      </c>
      <c r="D642" s="5" t="n">
        <v>6</v>
      </c>
      <c r="E642" s="5" t="inlineStr">
        <is>
          <t>Melhoria Contínua</t>
        </is>
      </c>
      <c r="F642" s="5" t="inlineStr">
        <is>
          <t>I</t>
        </is>
      </c>
      <c r="G642" s="5" t="inlineStr">
        <is>
          <t>Plano de capacitação formalizado e em execução, incluindo permanente reciclagem em ARR;</t>
        </is>
      </c>
      <c r="H642" s="6" t="n"/>
      <c r="I642" s="6" t="n"/>
      <c r="J642" s="6" t="n"/>
      <c r="K642" s="6" t="inlineStr">
        <is>
          <t>pendente</t>
        </is>
      </c>
      <c r="L642" s="6" t="n"/>
      <c r="M642" s="5">
        <f>IF(H642="SIM",1,0)</f>
        <v/>
      </c>
      <c r="N642" s="5">
        <f>IF(AND(H642="SIM",K642="validado",I642&lt;&gt;""),1,0)</f>
        <v/>
      </c>
    </row>
    <row r="643">
      <c r="A643" s="5" t="inlineStr">
        <is>
          <t>ANS</t>
        </is>
      </c>
      <c r="B643" s="5" t="inlineStr">
        <is>
          <t>ARR_CAP.GER.I</t>
        </is>
      </c>
      <c r="C643" s="5" t="inlineStr">
        <is>
          <t>ARR_CAP</t>
        </is>
      </c>
      <c r="D643" s="5" t="n">
        <v>6</v>
      </c>
      <c r="E643" s="5" t="inlineStr">
        <is>
          <t>Gerenciado</t>
        </is>
      </c>
      <c r="F643" s="5" t="inlineStr">
        <is>
          <t>I</t>
        </is>
      </c>
      <c r="G643" s="5" t="inlineStr">
        <is>
          <t>Capacitações institucionalizadas, sem um plano formalizado;</t>
        </is>
      </c>
      <c r="H643" s="6" t="n"/>
      <c r="I643" s="6" t="n"/>
      <c r="J643" s="6" t="n"/>
      <c r="K643" s="6" t="inlineStr">
        <is>
          <t>pendente</t>
        </is>
      </c>
      <c r="L643" s="6" t="n"/>
      <c r="M643" s="5">
        <f>IF(H643="SIM",1,0)</f>
        <v/>
      </c>
      <c r="N643" s="5">
        <f>IF(AND(H643="SIM",K643="validado",I643&lt;&gt;""),1,0)</f>
        <v/>
      </c>
    </row>
    <row r="644">
      <c r="A644" s="5" t="inlineStr">
        <is>
          <t>ANS</t>
        </is>
      </c>
      <c r="B644" s="5" t="inlineStr">
        <is>
          <t>ARR_CAP.INI.I</t>
        </is>
      </c>
      <c r="C644" s="5" t="inlineStr">
        <is>
          <t>ARR_CAP</t>
        </is>
      </c>
      <c r="D644" s="5" t="n">
        <v>6</v>
      </c>
      <c r="E644" s="5" t="inlineStr">
        <is>
          <t>Inicial</t>
        </is>
      </c>
      <c r="F644" s="5" t="inlineStr">
        <is>
          <t>I</t>
        </is>
      </c>
      <c r="G644" s="5" t="inlineStr">
        <is>
          <t>Capacitações não estão institucionalizadas;</t>
        </is>
      </c>
      <c r="H644" s="6" t="n"/>
      <c r="I644" s="6" t="n"/>
      <c r="J644" s="6" t="n"/>
      <c r="K644" s="6" t="inlineStr">
        <is>
          <t>pendente</t>
        </is>
      </c>
      <c r="L644" s="6" t="n"/>
      <c r="M644" s="5">
        <f>IF(H644="SIM",1,0)</f>
        <v/>
      </c>
      <c r="N644" s="5">
        <f>IF(AND(H644="SIM",K644="validado",I644&lt;&gt;""),1,0)</f>
        <v/>
      </c>
    </row>
    <row r="645">
      <c r="A645" s="5" t="inlineStr">
        <is>
          <t>ANS</t>
        </is>
      </c>
      <c r="B645" s="5" t="inlineStr">
        <is>
          <t>ARR_CAP.MC.II</t>
        </is>
      </c>
      <c r="C645" s="5" t="inlineStr">
        <is>
          <t>ARR_CAP</t>
        </is>
      </c>
      <c r="D645" s="5" t="n">
        <v>6</v>
      </c>
      <c r="E645" s="5" t="inlineStr">
        <is>
          <t>Melhoria Contínua</t>
        </is>
      </c>
      <c r="F645" s="5" t="inlineStr">
        <is>
          <t>II</t>
        </is>
      </c>
      <c r="G645" s="5" t="inlineStr">
        <is>
          <t>No mínimo, 75% dos servidores envolvidos em elaboração de regulação capacitados em ARR.</t>
        </is>
      </c>
      <c r="H645" s="6" t="n"/>
      <c r="I645" s="6" t="n"/>
      <c r="J645" s="6" t="n"/>
      <c r="K645" s="6" t="inlineStr">
        <is>
          <t>pendente</t>
        </is>
      </c>
      <c r="L645" s="6" t="n"/>
      <c r="M645" s="5">
        <f>IF(H645="SIM",1,0)</f>
        <v/>
      </c>
      <c r="N645" s="5">
        <f>IF(AND(H645="SIM",K645="validado",I645&lt;&gt;""),1,0)</f>
        <v/>
      </c>
    </row>
    <row r="646">
      <c r="A646" s="5" t="inlineStr">
        <is>
          <t>ANS</t>
        </is>
      </c>
      <c r="B646" s="5" t="inlineStr">
        <is>
          <t>ARR_CAP.GER.II</t>
        </is>
      </c>
      <c r="C646" s="5" t="inlineStr">
        <is>
          <t>ARR_CAP</t>
        </is>
      </c>
      <c r="D646" s="5" t="n">
        <v>6</v>
      </c>
      <c r="E646" s="5" t="inlineStr">
        <is>
          <t>Gerenciado</t>
        </is>
      </c>
      <c r="F646" s="5" t="inlineStr">
        <is>
          <t>II</t>
        </is>
      </c>
      <c r="G646" s="5" t="inlineStr">
        <is>
          <t>de 50% a 74% dos servidores envolvidos em elaboração de regulação capacitados em ARR;</t>
        </is>
      </c>
      <c r="H646" s="6" t="n"/>
      <c r="I646" s="6" t="n"/>
      <c r="J646" s="6" t="n"/>
      <c r="K646" s="6" t="inlineStr">
        <is>
          <t>pendente</t>
        </is>
      </c>
      <c r="L646" s="6" t="n"/>
      <c r="M646" s="5">
        <f>IF(H646="SIM",1,0)</f>
        <v/>
      </c>
      <c r="N646" s="5">
        <f>IF(AND(H646="SIM",K646="validado",I646&lt;&gt;""),1,0)</f>
        <v/>
      </c>
    </row>
    <row r="647">
      <c r="A647" s="5" t="inlineStr">
        <is>
          <t>ANS</t>
        </is>
      </c>
      <c r="B647" s="5" t="inlineStr">
        <is>
          <t>ARR_CAP.INI.II</t>
        </is>
      </c>
      <c r="C647" s="5" t="inlineStr">
        <is>
          <t>ARR_CAP</t>
        </is>
      </c>
      <c r="D647" s="5" t="n">
        <v>6</v>
      </c>
      <c r="E647" s="5" t="inlineStr">
        <is>
          <t>Inicial</t>
        </is>
      </c>
      <c r="F647" s="5" t="inlineStr">
        <is>
          <t>II</t>
        </is>
      </c>
      <c r="G647" s="5" t="inlineStr">
        <is>
          <t>de 25% a 49% dos servidores envolvidos em elaboração de regulação capacitados em ARR.</t>
        </is>
      </c>
      <c r="H647" s="6" t="n"/>
      <c r="I647" s="6" t="n"/>
      <c r="J647" s="6" t="n"/>
      <c r="K647" s="6" t="inlineStr">
        <is>
          <t>pendente</t>
        </is>
      </c>
      <c r="L647" s="6" t="n"/>
      <c r="M647" s="5">
        <f>IF(H647="SIM",1,0)</f>
        <v/>
      </c>
      <c r="N647" s="5">
        <f>IF(AND(H647="SIM",K647="validado",I647&lt;&gt;""),1,0)</f>
        <v/>
      </c>
    </row>
    <row r="648">
      <c r="A648" s="5" t="inlineStr">
        <is>
          <t>ANS</t>
        </is>
      </c>
      <c r="B648" s="5" t="inlineStr">
        <is>
          <t>ARR_MET.MC.I</t>
        </is>
      </c>
      <c r="C648" s="5" t="inlineStr">
        <is>
          <t>ARR_MET</t>
        </is>
      </c>
      <c r="D648" s="5" t="n">
        <v>6</v>
      </c>
      <c r="E648" s="5" t="inlineStr">
        <is>
          <t>Melhoria Contínua</t>
        </is>
      </c>
      <c r="F648" s="5" t="inlineStr">
        <is>
          <t>I</t>
        </is>
      </c>
      <c r="G648" s="5" t="inlineStr">
        <is>
          <t>Metodologia de elaboração de ARR contempla a participação social, conforme complexidade do ato;</t>
        </is>
      </c>
      <c r="H648" s="6" t="n"/>
      <c r="I648" s="6" t="n"/>
      <c r="J648" s="6" t="n"/>
      <c r="K648" s="6" t="inlineStr">
        <is>
          <t>pendente</t>
        </is>
      </c>
      <c r="L648" s="6" t="n"/>
      <c r="M648" s="5">
        <f>IF(H648="SIM",1,0)</f>
        <v/>
      </c>
      <c r="N648" s="5">
        <f>IF(AND(H648="SIM",K648="validado",I648&lt;&gt;""),1,0)</f>
        <v/>
      </c>
    </row>
    <row r="649">
      <c r="A649" s="5" t="inlineStr">
        <is>
          <t>ANS</t>
        </is>
      </c>
      <c r="B649" s="5" t="inlineStr">
        <is>
          <t>ARR_MET.GER.I</t>
        </is>
      </c>
      <c r="C649" s="5" t="inlineStr">
        <is>
          <t>ARR_MET</t>
        </is>
      </c>
      <c r="D649" s="5" t="n">
        <v>6</v>
      </c>
      <c r="E649" s="5" t="inlineStr">
        <is>
          <t>Gerenciado</t>
        </is>
      </c>
      <c r="F649" s="5" t="inlineStr">
        <is>
          <t>I</t>
        </is>
      </c>
      <c r="G649" s="5" t="inlineStr">
        <is>
          <t>Existência de manual ou ato normativo instituindo a aplicabilidade de ARR no órgão;</t>
        </is>
      </c>
      <c r="H649" s="6" t="n"/>
      <c r="I649" s="6" t="n"/>
      <c r="J649" s="6" t="n"/>
      <c r="K649" s="6" t="inlineStr">
        <is>
          <t>pendente</t>
        </is>
      </c>
      <c r="L649" s="6" t="n"/>
      <c r="M649" s="5">
        <f>IF(H649="SIM",1,0)</f>
        <v/>
      </c>
      <c r="N649" s="5">
        <f>IF(AND(H649="SIM",K649="validado",I649&lt;&gt;""),1,0)</f>
        <v/>
      </c>
    </row>
    <row r="650">
      <c r="A650" s="5" t="inlineStr">
        <is>
          <t>ANS</t>
        </is>
      </c>
      <c r="B650" s="5" t="inlineStr">
        <is>
          <t>ARR_MET.INI.I</t>
        </is>
      </c>
      <c r="C650" s="5" t="inlineStr">
        <is>
          <t>ARR_MET</t>
        </is>
      </c>
      <c r="D650" s="5" t="n">
        <v>6</v>
      </c>
      <c r="E650" s="5" t="inlineStr">
        <is>
          <t>Inicial</t>
        </is>
      </c>
      <c r="F650" s="5" t="inlineStr">
        <is>
          <t>I</t>
        </is>
      </c>
      <c r="G650" s="5" t="inlineStr">
        <is>
          <t>existe Agenda de ARR, conforme determinado no Decreto nº 10.411, de 2020.</t>
        </is>
      </c>
      <c r="H650" s="6" t="n"/>
      <c r="I650" s="6" t="n"/>
      <c r="J650" s="6" t="n"/>
      <c r="K650" s="6" t="inlineStr">
        <is>
          <t>pendente</t>
        </is>
      </c>
      <c r="L650" s="6" t="n"/>
      <c r="M650" s="5">
        <f>IF(H650="SIM",1,0)</f>
        <v/>
      </c>
      <c r="N650" s="5">
        <f>IF(AND(H650="SIM",K650="validado",I650&lt;&gt;""),1,0)</f>
        <v/>
      </c>
    </row>
    <row r="651">
      <c r="A651" s="5" t="inlineStr">
        <is>
          <t>ANS</t>
        </is>
      </c>
      <c r="B651" s="5" t="inlineStr">
        <is>
          <t>ARR_MET.MC.II</t>
        </is>
      </c>
      <c r="C651" s="5" t="inlineStr">
        <is>
          <t>ARR_MET</t>
        </is>
      </c>
      <c r="D651" s="5" t="n">
        <v>6</v>
      </c>
      <c r="E651" s="5" t="inlineStr">
        <is>
          <t>Melhoria Contínua</t>
        </is>
      </c>
      <c r="F651" s="5" t="inlineStr">
        <is>
          <t>II</t>
        </is>
      </c>
      <c r="G651" s="5" t="inlineStr">
        <is>
          <t>Existência de Agenda de ARR integrada com a Agenda Regulatória.</t>
        </is>
      </c>
      <c r="H651" s="6" t="n"/>
      <c r="I651" s="6" t="n"/>
      <c r="J651" s="6" t="n"/>
      <c r="K651" s="6" t="inlineStr">
        <is>
          <t>pendente</t>
        </is>
      </c>
      <c r="L651" s="6" t="n"/>
      <c r="M651" s="5">
        <f>IF(H651="SIM",1,0)</f>
        <v/>
      </c>
      <c r="N651" s="5">
        <f>IF(AND(H651="SIM",K651="validado",I651&lt;&gt;""),1,0)</f>
        <v/>
      </c>
    </row>
    <row r="652">
      <c r="A652" s="5" t="inlineStr">
        <is>
          <t>ANS</t>
        </is>
      </c>
      <c r="B652" s="5" t="inlineStr">
        <is>
          <t>ARR_MET.GER.II</t>
        </is>
      </c>
      <c r="C652" s="5" t="inlineStr">
        <is>
          <t>ARR_MET</t>
        </is>
      </c>
      <c r="D652" s="5" t="n">
        <v>6</v>
      </c>
      <c r="E652" s="5" t="inlineStr">
        <is>
          <t>Gerenciado</t>
        </is>
      </c>
      <c r="F652" s="5" t="inlineStr">
        <is>
          <t>II</t>
        </is>
      </c>
      <c r="G652" s="5" t="inlineStr">
        <is>
          <t>Metodologia de elaboração da Agenda de ARR contempla participação social.</t>
        </is>
      </c>
      <c r="H652" s="6" t="n"/>
      <c r="I652" s="6" t="n"/>
      <c r="J652" s="6" t="n"/>
      <c r="K652" s="6" t="inlineStr">
        <is>
          <t>pendente</t>
        </is>
      </c>
      <c r="L652" s="6" t="n"/>
      <c r="M652" s="5">
        <f>IF(H652="SIM",1,0)</f>
        <v/>
      </c>
      <c r="N652" s="5">
        <f>IF(AND(H652="SIM",K652="validado",I652&lt;&gt;""),1,0)</f>
        <v/>
      </c>
    </row>
    <row r="653">
      <c r="A653" s="5" t="inlineStr">
        <is>
          <t>ANS</t>
        </is>
      </c>
      <c r="B653" s="5" t="inlineStr">
        <is>
          <t>ARR_PRO.MC.I</t>
        </is>
      </c>
      <c r="C653" s="5" t="inlineStr">
        <is>
          <t>ARR_PRO</t>
        </is>
      </c>
      <c r="D653" s="5" t="n">
        <v>6</v>
      </c>
      <c r="E653" s="5" t="inlineStr">
        <is>
          <t>Melhoria Contínua</t>
        </is>
      </c>
      <c r="F653" s="5" t="inlineStr">
        <is>
          <t>I</t>
        </is>
      </c>
      <c r="G653" s="5" t="inlineStr">
        <is>
          <t>Há processo contínuo de avaliação e melhoria do processo de elaboração de ARR;</t>
        </is>
      </c>
      <c r="H653" s="6" t="n"/>
      <c r="I653" s="6" t="n"/>
      <c r="J653" s="6" t="n"/>
      <c r="K653" s="6" t="inlineStr">
        <is>
          <t>pendente</t>
        </is>
      </c>
      <c r="L653" s="6" t="n"/>
      <c r="M653" s="5">
        <f>IF(H653="SIM",1,0)</f>
        <v/>
      </c>
      <c r="N653" s="5">
        <f>IF(AND(H653="SIM",K653="validado",I653&lt;&gt;""),1,0)</f>
        <v/>
      </c>
    </row>
    <row r="654">
      <c r="A654" s="5" t="inlineStr">
        <is>
          <t>ANS</t>
        </is>
      </c>
      <c r="B654" s="5" t="inlineStr">
        <is>
          <t>ARR_PRO.GER.I</t>
        </is>
      </c>
      <c r="C654" s="5" t="inlineStr">
        <is>
          <t>ARR_PRO</t>
        </is>
      </c>
      <c r="D654" s="5" t="n">
        <v>6</v>
      </c>
      <c r="E654" s="5" t="inlineStr">
        <is>
          <t>Gerenciado</t>
        </is>
      </c>
      <c r="F654" s="5" t="inlineStr">
        <is>
          <t>I</t>
        </is>
      </c>
      <c r="G654" s="5" t="inlineStr">
        <is>
          <t>ARR é realizada conforme manual ou ato normativo;</t>
        </is>
      </c>
      <c r="H654" s="6" t="n"/>
      <c r="I654" s="6" t="n"/>
      <c r="J654" s="6" t="n"/>
      <c r="K654" s="6" t="inlineStr">
        <is>
          <t>pendente</t>
        </is>
      </c>
      <c r="L654" s="6" t="n"/>
      <c r="M654" s="5">
        <f>IF(H654="SIM",1,0)</f>
        <v/>
      </c>
      <c r="N654" s="5">
        <f>IF(AND(H654="SIM",K654="validado",I654&lt;&gt;""),1,0)</f>
        <v/>
      </c>
    </row>
    <row r="655">
      <c r="A655" s="5" t="inlineStr">
        <is>
          <t>ANS</t>
        </is>
      </c>
      <c r="B655" s="5" t="inlineStr">
        <is>
          <t>ARR_PRO.INI.I</t>
        </is>
      </c>
      <c r="C655" s="5" t="inlineStr">
        <is>
          <t>ARR_PRO</t>
        </is>
      </c>
      <c r="D655" s="5" t="n">
        <v>6</v>
      </c>
      <c r="E655" s="5" t="inlineStr">
        <is>
          <t>Inicial</t>
        </is>
      </c>
      <c r="F655" s="5" t="inlineStr">
        <is>
          <t>I</t>
        </is>
      </c>
      <c r="G655" s="5" t="inlineStr">
        <is>
          <t>Todas as ARRs são publicadas e acessíveis ao público na internet;</t>
        </is>
      </c>
      <c r="H655" s="6" t="n"/>
      <c r="I655" s="6" t="n"/>
      <c r="J655" s="6" t="n"/>
      <c r="K655" s="6" t="inlineStr">
        <is>
          <t>pendente</t>
        </is>
      </c>
      <c r="L655" s="6" t="n"/>
      <c r="M655" s="5">
        <f>IF(H655="SIM",1,0)</f>
        <v/>
      </c>
      <c r="N655" s="5">
        <f>IF(AND(H655="SIM",K655="validado",I655&lt;&gt;""),1,0)</f>
        <v/>
      </c>
    </row>
    <row r="656">
      <c r="A656" s="5" t="inlineStr">
        <is>
          <t>ANS</t>
        </is>
      </c>
      <c r="B656" s="5" t="inlineStr">
        <is>
          <t>ARR_PRO.MC.II</t>
        </is>
      </c>
      <c r="C656" s="5" t="inlineStr">
        <is>
          <t>ARR_PRO</t>
        </is>
      </c>
      <c r="D656" s="5" t="n">
        <v>6</v>
      </c>
      <c r="E656" s="5" t="inlineStr">
        <is>
          <t>Melhoria Contínua</t>
        </is>
      </c>
      <c r="F656" s="5" t="inlineStr">
        <is>
          <t>II</t>
        </is>
      </c>
      <c r="G656" s="5" t="inlineStr">
        <is>
          <t>A execução da Agenda de ARR é periodicamente monitorada e divulgada.</t>
        </is>
      </c>
      <c r="H656" s="6" t="n"/>
      <c r="I656" s="6" t="n"/>
      <c r="J656" s="6" t="n"/>
      <c r="K656" s="6" t="inlineStr">
        <is>
          <t>pendente</t>
        </is>
      </c>
      <c r="L656" s="6" t="n"/>
      <c r="M656" s="5">
        <f>IF(H656="SIM",1,0)</f>
        <v/>
      </c>
      <c r="N656" s="5">
        <f>IF(AND(H656="SIM",K656="validado",I656&lt;&gt;""),1,0)</f>
        <v/>
      </c>
    </row>
    <row r="657">
      <c r="A657" s="5" t="inlineStr">
        <is>
          <t>ANS</t>
        </is>
      </c>
      <c r="B657" s="5" t="inlineStr">
        <is>
          <t>ARR_PRO.GER.II</t>
        </is>
      </c>
      <c r="C657" s="5" t="inlineStr">
        <is>
          <t>ARR_PRO</t>
        </is>
      </c>
      <c r="D657" s="5" t="n">
        <v>6</v>
      </c>
      <c r="E657" s="5" t="inlineStr">
        <is>
          <t>Gerenciado</t>
        </is>
      </c>
      <c r="F657" s="5" t="inlineStr">
        <is>
          <t>II</t>
        </is>
      </c>
      <c r="G657" s="5" t="inlineStr">
        <is>
          <t>ARRs de alto impacto/alta complexidade foram submetidas à participação social.</t>
        </is>
      </c>
      <c r="H657" s="6" t="n"/>
      <c r="I657" s="6" t="n"/>
      <c r="J657" s="6" t="n"/>
      <c r="K657" s="6" t="inlineStr">
        <is>
          <t>pendente</t>
        </is>
      </c>
      <c r="L657" s="6" t="n"/>
      <c r="M657" s="5">
        <f>IF(H657="SIM",1,0)</f>
        <v/>
      </c>
      <c r="N657" s="5">
        <f>IF(AND(H657="SIM",K657="validado",I657&lt;&gt;""),1,0)</f>
        <v/>
      </c>
    </row>
    <row r="658">
      <c r="A658" s="5" t="inlineStr">
        <is>
          <t>ANS</t>
        </is>
      </c>
      <c r="B658" s="5" t="inlineStr">
        <is>
          <t>ARR_PRO.INI.II</t>
        </is>
      </c>
      <c r="C658" s="5" t="inlineStr">
        <is>
          <t>ARR_PRO</t>
        </is>
      </c>
      <c r="D658" s="5" t="n">
        <v>6</v>
      </c>
      <c r="E658" s="5" t="inlineStr">
        <is>
          <t>Inicial</t>
        </is>
      </c>
      <c r="F658" s="5" t="inlineStr">
        <is>
          <t>II</t>
        </is>
      </c>
      <c r="G658" s="5" t="inlineStr">
        <is>
          <t>A agenda de ARR está publicada no site do órgão.</t>
        </is>
      </c>
      <c r="H658" s="6" t="n"/>
      <c r="I658" s="6" t="n"/>
      <c r="J658" s="6" t="n"/>
      <c r="K658" s="6" t="inlineStr">
        <is>
          <t>pendente</t>
        </is>
      </c>
      <c r="L658" s="6" t="n"/>
      <c r="M658" s="5">
        <f>IF(H658="SIM",1,0)</f>
        <v/>
      </c>
      <c r="N658" s="5">
        <f>IF(AND(H658="SIM",K658="validado",I658&lt;&gt;""),1,0)</f>
        <v/>
      </c>
    </row>
    <row r="659">
      <c r="A659" s="5" t="inlineStr">
        <is>
          <t>ANM</t>
        </is>
      </c>
      <c r="B659" s="5" t="inlineStr">
        <is>
          <t>AIR_CAP.MC.I</t>
        </is>
      </c>
      <c r="C659" s="5" t="inlineStr">
        <is>
          <t>AIR_CAP</t>
        </is>
      </c>
      <c r="D659" s="5" t="n">
        <v>1</v>
      </c>
      <c r="E659" s="5" t="inlineStr">
        <is>
          <t>Melhoria Contínua</t>
        </is>
      </c>
      <c r="F659" s="5" t="inlineStr">
        <is>
          <t>I</t>
        </is>
      </c>
      <c r="G659" s="5" t="inlineStr">
        <is>
          <t>Plano de capacitação formalizado e em execução, incluindo permanente reciclagem em técnicas de AIR;</t>
        </is>
      </c>
      <c r="H659" s="6" t="n"/>
      <c r="I659" s="6" t="n"/>
      <c r="J659" s="6" t="n"/>
      <c r="K659" s="6" t="inlineStr">
        <is>
          <t>pendente</t>
        </is>
      </c>
      <c r="L659" s="6" t="n"/>
      <c r="M659" s="5">
        <f>IF(H659="SIM",1,0)</f>
        <v/>
      </c>
      <c r="N659" s="5">
        <f>IF(AND(H659="SIM",K659="validado",I659&lt;&gt;""),1,0)</f>
        <v/>
      </c>
    </row>
    <row r="660">
      <c r="A660" s="5" t="inlineStr">
        <is>
          <t>ANM</t>
        </is>
      </c>
      <c r="B660" s="5" t="inlineStr">
        <is>
          <t>AIR_CAP.GER.I</t>
        </is>
      </c>
      <c r="C660" s="5" t="inlineStr">
        <is>
          <t>AIR_CAP</t>
        </is>
      </c>
      <c r="D660" s="5" t="n">
        <v>1</v>
      </c>
      <c r="E660" s="5" t="inlineStr">
        <is>
          <t>Gerenciado</t>
        </is>
      </c>
      <c r="F660" s="5" t="inlineStr">
        <is>
          <t>I</t>
        </is>
      </c>
      <c r="G660" s="5" t="inlineStr">
        <is>
          <t>Capacitações em AIR estão institucionalizadas, sem um plano formalizado;</t>
        </is>
      </c>
      <c r="H660" s="6" t="n"/>
      <c r="I660" s="6" t="n"/>
      <c r="J660" s="6" t="n"/>
      <c r="K660" s="6" t="inlineStr">
        <is>
          <t>pendente</t>
        </is>
      </c>
      <c r="L660" s="6" t="n"/>
      <c r="M660" s="5">
        <f>IF(H660="SIM",1,0)</f>
        <v/>
      </c>
      <c r="N660" s="5">
        <f>IF(AND(H660="SIM",K660="validado",I660&lt;&gt;""),1,0)</f>
        <v/>
      </c>
    </row>
    <row r="661">
      <c r="A661" s="5" t="inlineStr">
        <is>
          <t>ANM</t>
        </is>
      </c>
      <c r="B661" s="5" t="inlineStr">
        <is>
          <t>AIR_CAP.INI.I</t>
        </is>
      </c>
      <c r="C661" s="5" t="inlineStr">
        <is>
          <t>AIR_CAP</t>
        </is>
      </c>
      <c r="D661" s="5" t="n">
        <v>1</v>
      </c>
      <c r="E661" s="5" t="inlineStr">
        <is>
          <t>Inicial</t>
        </is>
      </c>
      <c r="F661" s="5" t="inlineStr">
        <is>
          <t>I</t>
        </is>
      </c>
      <c r="G661" s="5" t="inlineStr">
        <is>
          <t>Capacitações em AIR não estão institucionalizadas;</t>
        </is>
      </c>
      <c r="H661" s="6" t="n"/>
      <c r="I661" s="6" t="n"/>
      <c r="J661" s="6" t="n"/>
      <c r="K661" s="6" t="inlineStr">
        <is>
          <t>pendente</t>
        </is>
      </c>
      <c r="L661" s="6" t="n"/>
      <c r="M661" s="5">
        <f>IF(H661="SIM",1,0)</f>
        <v/>
      </c>
      <c r="N661" s="5">
        <f>IF(AND(H661="SIM",K661="validado",I661&lt;&gt;""),1,0)</f>
        <v/>
      </c>
    </row>
    <row r="662">
      <c r="A662" s="5" t="inlineStr">
        <is>
          <t>ANM</t>
        </is>
      </c>
      <c r="B662" s="5" t="inlineStr">
        <is>
          <t>AIR_CAP.MC.II</t>
        </is>
      </c>
      <c r="C662" s="5" t="inlineStr">
        <is>
          <t>AIR_CAP</t>
        </is>
      </c>
      <c r="D662" s="5" t="n">
        <v>1</v>
      </c>
      <c r="E662" s="5" t="inlineStr">
        <is>
          <t>Melhoria Contínua</t>
        </is>
      </c>
      <c r="F662" s="5" t="inlineStr">
        <is>
          <t>II</t>
        </is>
      </c>
      <c r="G662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662" s="6" t="n"/>
      <c r="I662" s="6" t="n"/>
      <c r="J662" s="6" t="n"/>
      <c r="K662" s="6" t="inlineStr">
        <is>
          <t>pendente</t>
        </is>
      </c>
      <c r="L662" s="6" t="n"/>
      <c r="M662" s="5">
        <f>IF(H662="SIM",1,0)</f>
        <v/>
      </c>
      <c r="N662" s="5">
        <f>IF(AND(H662="SIM",K662="validado",I662&lt;&gt;""),1,0)</f>
        <v/>
      </c>
    </row>
    <row r="663">
      <c r="A663" s="5" t="inlineStr">
        <is>
          <t>ANM</t>
        </is>
      </c>
      <c r="B663" s="5" t="inlineStr">
        <is>
          <t>AIR_CAP.GER.II</t>
        </is>
      </c>
      <c r="C663" s="5" t="inlineStr">
        <is>
          <t>AIR_CAP</t>
        </is>
      </c>
      <c r="D663" s="5" t="n">
        <v>1</v>
      </c>
      <c r="E663" s="5" t="inlineStr">
        <is>
          <t>Gerenciado</t>
        </is>
      </c>
      <c r="F663" s="5" t="inlineStr">
        <is>
          <t>II</t>
        </is>
      </c>
      <c r="G663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663" s="6" t="n"/>
      <c r="I663" s="6" t="n"/>
      <c r="J663" s="6" t="n"/>
      <c r="K663" s="6" t="inlineStr">
        <is>
          <t>pendente</t>
        </is>
      </c>
      <c r="L663" s="6" t="n"/>
      <c r="M663" s="5">
        <f>IF(H663="SIM",1,0)</f>
        <v/>
      </c>
      <c r="N663" s="5">
        <f>IF(AND(H663="SIM",K663="validado",I663&lt;&gt;""),1,0)</f>
        <v/>
      </c>
    </row>
    <row r="664">
      <c r="A664" s="5" t="inlineStr">
        <is>
          <t>ANM</t>
        </is>
      </c>
      <c r="B664" s="5" t="inlineStr">
        <is>
          <t>AIR_CAP.INI.II</t>
        </is>
      </c>
      <c r="C664" s="5" t="inlineStr">
        <is>
          <t>AIR_CAP</t>
        </is>
      </c>
      <c r="D664" s="5" t="n">
        <v>1</v>
      </c>
      <c r="E664" s="5" t="inlineStr">
        <is>
          <t>Inicial</t>
        </is>
      </c>
      <c r="F664" s="5" t="inlineStr">
        <is>
          <t>II</t>
        </is>
      </c>
      <c r="G664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664" s="6" t="n"/>
      <c r="I664" s="6" t="n"/>
      <c r="J664" s="6" t="n"/>
      <c r="K664" s="6" t="inlineStr">
        <is>
          <t>pendente</t>
        </is>
      </c>
      <c r="L664" s="6" t="n"/>
      <c r="M664" s="5">
        <f>IF(H664="SIM",1,0)</f>
        <v/>
      </c>
      <c r="N664" s="5">
        <f>IF(AND(H664="SIM",K664="validado",I664&lt;&gt;""),1,0)</f>
        <v/>
      </c>
    </row>
    <row r="665">
      <c r="A665" s="5" t="inlineStr">
        <is>
          <t>ANM</t>
        </is>
      </c>
      <c r="B665" s="5" t="inlineStr">
        <is>
          <t>AIR_CAP.MC.III</t>
        </is>
      </c>
      <c r="C665" s="5" t="inlineStr">
        <is>
          <t>AIR_CAP</t>
        </is>
      </c>
      <c r="D665" s="5" t="n">
        <v>1</v>
      </c>
      <c r="E665" s="5" t="inlineStr">
        <is>
          <t>Melhoria Contínua</t>
        </is>
      </c>
      <c r="F665" s="5" t="inlineStr">
        <is>
          <t>III</t>
        </is>
      </c>
      <c r="G665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665" s="6" t="n"/>
      <c r="I665" s="6" t="n"/>
      <c r="J665" s="6" t="n"/>
      <c r="K665" s="6" t="inlineStr">
        <is>
          <t>pendente</t>
        </is>
      </c>
      <c r="L665" s="6" t="n"/>
      <c r="M665" s="5">
        <f>IF(H665="SIM",1,0)</f>
        <v/>
      </c>
      <c r="N665" s="5">
        <f>IF(AND(H665="SIM",K665="validado",I665&lt;&gt;""),1,0)</f>
        <v/>
      </c>
    </row>
    <row r="666">
      <c r="A666" s="5" t="inlineStr">
        <is>
          <t>ANM</t>
        </is>
      </c>
      <c r="B666" s="5" t="inlineStr">
        <is>
          <t>AIR_CAP.GER.III</t>
        </is>
      </c>
      <c r="C666" s="5" t="inlineStr">
        <is>
          <t>AIR_CAP</t>
        </is>
      </c>
      <c r="D666" s="5" t="n">
        <v>1</v>
      </c>
      <c r="E666" s="5" t="inlineStr">
        <is>
          <t>Gerenciado</t>
        </is>
      </c>
      <c r="F666" s="5" t="inlineStr">
        <is>
          <t>III</t>
        </is>
      </c>
      <c r="G666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666" s="6" t="n"/>
      <c r="I666" s="6" t="n"/>
      <c r="J666" s="6" t="n"/>
      <c r="K666" s="6" t="inlineStr">
        <is>
          <t>pendente</t>
        </is>
      </c>
      <c r="L666" s="6" t="n"/>
      <c r="M666" s="5">
        <f>IF(H666="SIM",1,0)</f>
        <v/>
      </c>
      <c r="N666" s="5">
        <f>IF(AND(H666="SIM",K666="validado",I666&lt;&gt;""),1,0)</f>
        <v/>
      </c>
    </row>
    <row r="667">
      <c r="A667" s="5" t="inlineStr">
        <is>
          <t>ANM</t>
        </is>
      </c>
      <c r="B667" s="5" t="inlineStr">
        <is>
          <t>AIR_CAP.INI.III</t>
        </is>
      </c>
      <c r="C667" s="5" t="inlineStr">
        <is>
          <t>AIR_CAP</t>
        </is>
      </c>
      <c r="D667" s="5" t="n">
        <v>1</v>
      </c>
      <c r="E667" s="5" t="inlineStr">
        <is>
          <t>Inicial</t>
        </is>
      </c>
      <c r="F667" s="5" t="inlineStr">
        <is>
          <t>III</t>
        </is>
      </c>
      <c r="G667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667" s="6" t="n"/>
      <c r="I667" s="6" t="n"/>
      <c r="J667" s="6" t="n"/>
      <c r="K667" s="6" t="inlineStr">
        <is>
          <t>pendente</t>
        </is>
      </c>
      <c r="L667" s="6" t="n"/>
      <c r="M667" s="5">
        <f>IF(H667="SIM",1,0)</f>
        <v/>
      </c>
      <c r="N667" s="5">
        <f>IF(AND(H667="SIM",K667="validado",I667&lt;&gt;""),1,0)</f>
        <v/>
      </c>
    </row>
    <row r="668">
      <c r="A668" s="5" t="inlineStr">
        <is>
          <t>ANM</t>
        </is>
      </c>
      <c r="B668" s="5" t="inlineStr">
        <is>
          <t>AIR_CAP.GER.IV</t>
        </is>
      </c>
      <c r="C668" s="5" t="inlineStr">
        <is>
          <t>AIR_CAP</t>
        </is>
      </c>
      <c r="D668" s="5" t="n">
        <v>1</v>
      </c>
      <c r="E668" s="5" t="inlineStr">
        <is>
          <t>Gerenciado</t>
        </is>
      </c>
      <c r="F668" s="5" t="inlineStr">
        <is>
          <t>IV</t>
        </is>
      </c>
      <c r="G668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668" s="6" t="n"/>
      <c r="I668" s="6" t="n"/>
      <c r="J668" s="6" t="n"/>
      <c r="K668" s="6" t="inlineStr">
        <is>
          <t>pendente</t>
        </is>
      </c>
      <c r="L668" s="6" t="n"/>
      <c r="M668" s="5">
        <f>IF(H668="SIM",1,0)</f>
        <v/>
      </c>
      <c r="N668" s="5">
        <f>IF(AND(H668="SIM",K668="validado",I668&lt;&gt;""),1,0)</f>
        <v/>
      </c>
    </row>
    <row r="669">
      <c r="A669" s="5" t="inlineStr">
        <is>
          <t>ANM</t>
        </is>
      </c>
      <c r="B669" s="5" t="inlineStr">
        <is>
          <t>AIR_MET.MC.I</t>
        </is>
      </c>
      <c r="C669" s="5" t="inlineStr">
        <is>
          <t>AIR_MET</t>
        </is>
      </c>
      <c r="D669" s="5" t="n">
        <v>1</v>
      </c>
      <c r="E669" s="5" t="inlineStr">
        <is>
          <t>Melhoria Contínua</t>
        </is>
      </c>
      <c r="F669" s="5" t="inlineStr">
        <is>
          <t>I</t>
        </is>
      </c>
      <c r="G669" s="5" t="inlineStr">
        <is>
          <t>Critérios objetivos estabelecidos para classificação quanto ao nível de impacto e complexidade da AIR;</t>
        </is>
      </c>
      <c r="H669" s="6" t="n"/>
      <c r="I669" s="6" t="n"/>
      <c r="J669" s="6" t="n"/>
      <c r="K669" s="6" t="inlineStr">
        <is>
          <t>pendente</t>
        </is>
      </c>
      <c r="L669" s="6" t="n"/>
      <c r="M669" s="5">
        <f>IF(H669="SIM",1,0)</f>
        <v/>
      </c>
      <c r="N669" s="5">
        <f>IF(AND(H669="SIM",K669="validado",I669&lt;&gt;""),1,0)</f>
        <v/>
      </c>
    </row>
    <row r="670">
      <c r="A670" s="5" t="inlineStr">
        <is>
          <t>ANM</t>
        </is>
      </c>
      <c r="B670" s="5" t="inlineStr">
        <is>
          <t>AIR_MET.GER.I</t>
        </is>
      </c>
      <c r="C670" s="5" t="inlineStr">
        <is>
          <t>AIR_MET</t>
        </is>
      </c>
      <c r="D670" s="5" t="n">
        <v>1</v>
      </c>
      <c r="E670" s="5" t="inlineStr">
        <is>
          <t>Gerenciado</t>
        </is>
      </c>
      <c r="F670" s="5" t="inlineStr">
        <is>
          <t>I</t>
        </is>
      </c>
      <c r="G670" s="5" t="inlineStr">
        <is>
          <t>Existência de manual ou ato normativo interno instituindo a aplicabilidade institucional da AIR;</t>
        </is>
      </c>
      <c r="H670" s="6" t="n"/>
      <c r="I670" s="6" t="n"/>
      <c r="J670" s="6" t="n"/>
      <c r="K670" s="6" t="inlineStr">
        <is>
          <t>pendente</t>
        </is>
      </c>
      <c r="L670" s="6" t="n"/>
      <c r="M670" s="5">
        <f>IF(H670="SIM",1,0)</f>
        <v/>
      </c>
      <c r="N670" s="5">
        <f>IF(AND(H670="SIM",K670="validado",I670&lt;&gt;""),1,0)</f>
        <v/>
      </c>
    </row>
    <row r="671">
      <c r="A671" s="5" t="inlineStr">
        <is>
          <t>ANM</t>
        </is>
      </c>
      <c r="B671" s="5" t="inlineStr">
        <is>
          <t>AIR_MET.INI.I</t>
        </is>
      </c>
      <c r="C671" s="5" t="inlineStr">
        <is>
          <t>AIR_MET</t>
        </is>
      </c>
      <c r="D671" s="5" t="n">
        <v>1</v>
      </c>
      <c r="E671" s="5" t="inlineStr">
        <is>
          <t>Inicial</t>
        </is>
      </c>
      <c r="F671" s="5" t="inlineStr">
        <is>
          <t>I</t>
        </is>
      </c>
      <c r="G671" s="5" t="inlineStr">
        <is>
          <t>houve a publicação de normativo interno dispondo sobre a aplicação da AIR na instituição, conforme Decreto nº 10.411, de 2020.</t>
        </is>
      </c>
      <c r="H671" s="6" t="n"/>
      <c r="I671" s="6" t="n"/>
      <c r="J671" s="6" t="n"/>
      <c r="K671" s="6" t="inlineStr">
        <is>
          <t>pendente</t>
        </is>
      </c>
      <c r="L671" s="6" t="n"/>
      <c r="M671" s="5">
        <f>IF(H671="SIM",1,0)</f>
        <v/>
      </c>
      <c r="N671" s="5">
        <f>IF(AND(H671="SIM",K671="validado",I671&lt;&gt;""),1,0)</f>
        <v/>
      </c>
    </row>
    <row r="672">
      <c r="A672" s="5" t="inlineStr">
        <is>
          <t>ANM</t>
        </is>
      </c>
      <c r="B672" s="5" t="inlineStr">
        <is>
          <t>AIR_MET.MC.II</t>
        </is>
      </c>
      <c r="C672" s="5" t="inlineStr">
        <is>
          <t>AIR_MET</t>
        </is>
      </c>
      <c r="D672" s="5" t="n">
        <v>1</v>
      </c>
      <c r="E672" s="5" t="inlineStr">
        <is>
          <t>Melhoria Contínua</t>
        </is>
      </c>
      <c r="F672" s="5" t="inlineStr">
        <is>
          <t>II</t>
        </is>
      </c>
      <c r="G672" s="5" t="inlineStr">
        <is>
          <t>Metodologia contempla participação social prévia e posterior à elaboração da AIR, conforme complexidade do ato.</t>
        </is>
      </c>
      <c r="H672" s="6" t="n"/>
      <c r="I672" s="6" t="n"/>
      <c r="J672" s="6" t="n"/>
      <c r="K672" s="6" t="inlineStr">
        <is>
          <t>pendente</t>
        </is>
      </c>
      <c r="L672" s="6" t="n"/>
      <c r="M672" s="5">
        <f>IF(H672="SIM",1,0)</f>
        <v/>
      </c>
      <c r="N672" s="5">
        <f>IF(AND(H672="SIM",K672="validado",I672&lt;&gt;""),1,0)</f>
        <v/>
      </c>
    </row>
    <row r="673">
      <c r="A673" s="5" t="inlineStr">
        <is>
          <t>ANM</t>
        </is>
      </c>
      <c r="B673" s="5" t="inlineStr">
        <is>
          <t>AIR_MET.GER.II</t>
        </is>
      </c>
      <c r="C673" s="5" t="inlineStr">
        <is>
          <t>AIR_MET</t>
        </is>
      </c>
      <c r="D673" s="5" t="n">
        <v>1</v>
      </c>
      <c r="E673" s="5" t="inlineStr">
        <is>
          <t>Gerenciado</t>
        </is>
      </c>
      <c r="F673" s="5" t="inlineStr">
        <is>
          <t>II</t>
        </is>
      </c>
      <c r="G673" s="5" t="inlineStr">
        <is>
          <t>Existência de manual ou ato normativo dispondo sobre a participação social posterior relativa à AIR.</t>
        </is>
      </c>
      <c r="H673" s="6" t="n"/>
      <c r="I673" s="6" t="n"/>
      <c r="J673" s="6" t="n"/>
      <c r="K673" s="6" t="inlineStr">
        <is>
          <t>pendente</t>
        </is>
      </c>
      <c r="L673" s="6" t="n"/>
      <c r="M673" s="5">
        <f>IF(H673="SIM",1,0)</f>
        <v/>
      </c>
      <c r="N673" s="5">
        <f>IF(AND(H673="SIM",K673="validado",I673&lt;&gt;""),1,0)</f>
        <v/>
      </c>
    </row>
    <row r="674">
      <c r="A674" s="5" t="inlineStr">
        <is>
          <t>ANM</t>
        </is>
      </c>
      <c r="B674" s="5" t="inlineStr">
        <is>
          <t>AIR_PRO.MC.I</t>
        </is>
      </c>
      <c r="C674" s="5" t="inlineStr">
        <is>
          <t>AIR_PRO</t>
        </is>
      </c>
      <c r="D674" s="5" t="n">
        <v>1</v>
      </c>
      <c r="E674" s="5" t="inlineStr">
        <is>
          <t>Melhoria Contínua</t>
        </is>
      </c>
      <c r="F674" s="5" t="inlineStr">
        <is>
          <t>I</t>
        </is>
      </c>
      <c r="G674" s="5" t="inlineStr">
        <is>
          <t>Há processo contínuo de avaliação e melhoria do processo de elaboração de AIR;</t>
        </is>
      </c>
      <c r="H674" s="6" t="n"/>
      <c r="I674" s="6" t="n"/>
      <c r="J674" s="6" t="n"/>
      <c r="K674" s="6" t="inlineStr">
        <is>
          <t>pendente</t>
        </is>
      </c>
      <c r="L674" s="6" t="n"/>
      <c r="M674" s="5">
        <f>IF(H674="SIM",1,0)</f>
        <v/>
      </c>
      <c r="N674" s="5">
        <f>IF(AND(H674="SIM",K674="validado",I674&lt;&gt;""),1,0)</f>
        <v/>
      </c>
    </row>
    <row r="675">
      <c r="A675" s="5" t="inlineStr">
        <is>
          <t>ANM</t>
        </is>
      </c>
      <c r="B675" s="5" t="inlineStr">
        <is>
          <t>AIR_PRO.GER.I</t>
        </is>
      </c>
      <c r="C675" s="5" t="inlineStr">
        <is>
          <t>AIR_PRO</t>
        </is>
      </c>
      <c r="D675" s="5" t="n">
        <v>1</v>
      </c>
      <c r="E675" s="5" t="inlineStr">
        <is>
          <t>Gerenciado</t>
        </is>
      </c>
      <c r="F675" s="5" t="inlineStr">
        <is>
          <t>I</t>
        </is>
      </c>
      <c r="G675" s="5" t="inlineStr">
        <is>
          <t>Todas as AIRs são sempre realizadas conforme manual ou ato normativo interno e publicadas e acessíveis ao público na internet;</t>
        </is>
      </c>
      <c r="H675" s="6" t="n"/>
      <c r="I675" s="6" t="n"/>
      <c r="J675" s="6" t="n"/>
      <c r="K675" s="6" t="inlineStr">
        <is>
          <t>pendente</t>
        </is>
      </c>
      <c r="L675" s="6" t="n"/>
      <c r="M675" s="5">
        <f>IF(H675="SIM",1,0)</f>
        <v/>
      </c>
      <c r="N675" s="5">
        <f>IF(AND(H675="SIM",K675="validado",I675&lt;&gt;""),1,0)</f>
        <v/>
      </c>
    </row>
    <row r="676">
      <c r="A676" s="5" t="inlineStr">
        <is>
          <t>ANM</t>
        </is>
      </c>
      <c r="B676" s="5" t="inlineStr">
        <is>
          <t>AIR_PRO.INI.I</t>
        </is>
      </c>
      <c r="C676" s="5" t="inlineStr">
        <is>
          <t>AIR_PRO</t>
        </is>
      </c>
      <c r="D676" s="5" t="n">
        <v>1</v>
      </c>
      <c r="E676" s="5" t="inlineStr">
        <is>
          <t>Inicial</t>
        </is>
      </c>
      <c r="F676" s="5" t="inlineStr">
        <is>
          <t>I</t>
        </is>
      </c>
      <c r="G676" s="5" t="inlineStr">
        <is>
          <t>AIR é sempre realizada e a dispensa justificada, conforme critérios objetivos estabelecidos, conforme Decreto nº 10.411, de 2020;</t>
        </is>
      </c>
      <c r="H676" s="6" t="n"/>
      <c r="I676" s="6" t="n"/>
      <c r="J676" s="6" t="n"/>
      <c r="K676" s="6" t="inlineStr">
        <is>
          <t>pendente</t>
        </is>
      </c>
      <c r="L676" s="6" t="n"/>
      <c r="M676" s="5">
        <f>IF(H676="SIM",1,0)</f>
        <v/>
      </c>
      <c r="N676" s="5">
        <f>IF(AND(H676="SIM",K676="validado",I676&lt;&gt;""),1,0)</f>
        <v/>
      </c>
    </row>
    <row r="677">
      <c r="A677" s="5" t="inlineStr">
        <is>
          <t>ANM</t>
        </is>
      </c>
      <c r="B677" s="5" t="inlineStr">
        <is>
          <t>AIR_PRO.MC.II</t>
        </is>
      </c>
      <c r="C677" s="5" t="inlineStr">
        <is>
          <t>AIR_PRO</t>
        </is>
      </c>
      <c r="D677" s="5" t="n">
        <v>1</v>
      </c>
      <c r="E677" s="5" t="inlineStr">
        <is>
          <t>Melhoria Contínua</t>
        </is>
      </c>
      <c r="F677" s="5" t="inlineStr">
        <is>
          <t>II</t>
        </is>
      </c>
      <c r="G677" s="5" t="inlineStr">
        <is>
          <t>Existência de instrumento de avaliação de qualidade das AIRs realizadas;</t>
        </is>
      </c>
      <c r="H677" s="6" t="n"/>
      <c r="I677" s="6" t="n"/>
      <c r="J677" s="6" t="n"/>
      <c r="K677" s="6" t="inlineStr">
        <is>
          <t>pendente</t>
        </is>
      </c>
      <c r="L677" s="6" t="n"/>
      <c r="M677" s="5">
        <f>IF(H677="SIM",1,0)</f>
        <v/>
      </c>
      <c r="N677" s="5">
        <f>IF(AND(H677="SIM",K677="validado",I677&lt;&gt;""),1,0)</f>
        <v/>
      </c>
    </row>
    <row r="678">
      <c r="A678" s="5" t="inlineStr">
        <is>
          <t>ANM</t>
        </is>
      </c>
      <c r="B678" s="5" t="inlineStr">
        <is>
          <t>AIR_PRO.GER.II</t>
        </is>
      </c>
      <c r="C678" s="5" t="inlineStr">
        <is>
          <t>AIR_PRO</t>
        </is>
      </c>
      <c r="D678" s="5" t="n">
        <v>1</v>
      </c>
      <c r="E678" s="5" t="inlineStr">
        <is>
          <t>Gerenciado</t>
        </is>
      </c>
      <c r="F678" s="5" t="inlineStr">
        <is>
          <t>II</t>
        </is>
      </c>
      <c r="G678" s="5" t="inlineStr">
        <is>
          <t>O processo de elaboração de AIR está mapeado na instituição;</t>
        </is>
      </c>
      <c r="H678" s="6" t="n"/>
      <c r="I678" s="6" t="n"/>
      <c r="J678" s="6" t="n"/>
      <c r="K678" s="6" t="inlineStr">
        <is>
          <t>pendente</t>
        </is>
      </c>
      <c r="L678" s="6" t="n"/>
      <c r="M678" s="5">
        <f>IF(H678="SIM",1,0)</f>
        <v/>
      </c>
      <c r="N678" s="5">
        <f>IF(AND(H678="SIM",K678="validado",I678&lt;&gt;""),1,0)</f>
        <v/>
      </c>
    </row>
    <row r="679">
      <c r="A679" s="5" t="inlineStr">
        <is>
          <t>ANM</t>
        </is>
      </c>
      <c r="B679" s="5" t="inlineStr">
        <is>
          <t>AIR_PRO.INI.II</t>
        </is>
      </c>
      <c r="C679" s="5" t="inlineStr">
        <is>
          <t>AIR_PRO</t>
        </is>
      </c>
      <c r="D679" s="5" t="n">
        <v>1</v>
      </c>
      <c r="E679" s="5" t="inlineStr">
        <is>
          <t>Inicial</t>
        </is>
      </c>
      <c r="F679" s="5" t="inlineStr">
        <is>
          <t>II</t>
        </is>
      </c>
      <c r="G679" s="5" t="inlineStr">
        <is>
          <t>Todas as AIRs são publicadas e acessíveis ao público na internet;</t>
        </is>
      </c>
      <c r="H679" s="6" t="n"/>
      <c r="I679" s="6" t="n"/>
      <c r="J679" s="6" t="n"/>
      <c r="K679" s="6" t="inlineStr">
        <is>
          <t>pendente</t>
        </is>
      </c>
      <c r="L679" s="6" t="n"/>
      <c r="M679" s="5">
        <f>IF(H679="SIM",1,0)</f>
        <v/>
      </c>
      <c r="N679" s="5">
        <f>IF(AND(H679="SIM",K679="validado",I679&lt;&gt;""),1,0)</f>
        <v/>
      </c>
    </row>
    <row r="680">
      <c r="A680" s="5" t="inlineStr">
        <is>
          <t>ANM</t>
        </is>
      </c>
      <c r="B680" s="5" t="inlineStr">
        <is>
          <t>AIR_PRO.MC.III</t>
        </is>
      </c>
      <c r="C680" s="5" t="inlineStr">
        <is>
          <t>AIR_PRO</t>
        </is>
      </c>
      <c r="D680" s="5" t="n">
        <v>1</v>
      </c>
      <c r="E680" s="5" t="inlineStr">
        <is>
          <t>Melhoria Contínua</t>
        </is>
      </c>
      <c r="F680" s="5" t="inlineStr">
        <is>
          <t>III</t>
        </is>
      </c>
      <c r="G680" s="5" t="inlineStr">
        <is>
          <t>As AIRs de alto impacto/alta complexidade são submetidas à participação social prévia e posterior.</t>
        </is>
      </c>
      <c r="H680" s="6" t="n"/>
      <c r="I680" s="6" t="n"/>
      <c r="J680" s="6" t="n"/>
      <c r="K680" s="6" t="inlineStr">
        <is>
          <t>pendente</t>
        </is>
      </c>
      <c r="L680" s="6" t="n"/>
      <c r="M680" s="5">
        <f>IF(H680="SIM",1,0)</f>
        <v/>
      </c>
      <c r="N680" s="5">
        <f>IF(AND(H680="SIM",K680="validado",I680&lt;&gt;""),1,0)</f>
        <v/>
      </c>
    </row>
    <row r="681">
      <c r="A681" s="5" t="inlineStr">
        <is>
          <t>ANM</t>
        </is>
      </c>
      <c r="B681" s="5" t="inlineStr">
        <is>
          <t>AIR_PRO.GER.III</t>
        </is>
      </c>
      <c r="C681" s="5" t="inlineStr">
        <is>
          <t>AIR_PRO</t>
        </is>
      </c>
      <c r="D681" s="5" t="n">
        <v>1</v>
      </c>
      <c r="E681" s="5" t="inlineStr">
        <is>
          <t>Gerenciado</t>
        </is>
      </c>
      <c r="F681" s="5" t="inlineStr">
        <is>
          <t>III</t>
        </is>
      </c>
      <c r="G681" s="5" t="inlineStr">
        <is>
          <t>As AIRs são objeto de participação social posterior, conforme decisão técnica.</t>
        </is>
      </c>
      <c r="H681" s="6" t="n"/>
      <c r="I681" s="6" t="n"/>
      <c r="J681" s="6" t="n"/>
      <c r="K681" s="6" t="inlineStr">
        <is>
          <t>pendente</t>
        </is>
      </c>
      <c r="L681" s="6" t="n"/>
      <c r="M681" s="5">
        <f>IF(H681="SIM",1,0)</f>
        <v/>
      </c>
      <c r="N681" s="5">
        <f>IF(AND(H681="SIM",K681="validado",I681&lt;&gt;""),1,0)</f>
        <v/>
      </c>
    </row>
    <row r="682">
      <c r="A682" s="5" t="inlineStr">
        <is>
          <t>ANM</t>
        </is>
      </c>
      <c r="B682" s="5" t="inlineStr">
        <is>
          <t>AIR_PRO.INI.III</t>
        </is>
      </c>
      <c r="C682" s="5" t="inlineStr">
        <is>
          <t>AIR_PRO</t>
        </is>
      </c>
      <c r="D682" s="5" t="n">
        <v>1</v>
      </c>
      <c r="E682" s="5" t="inlineStr">
        <is>
          <t>Inicial</t>
        </is>
      </c>
      <c r="F682" s="5" t="inlineStr">
        <is>
          <t>III</t>
        </is>
      </c>
      <c r="G682" s="5" t="inlineStr">
        <is>
          <t>Participação Social é realizada, conforme Decreto nº 10.411, de 2020.</t>
        </is>
      </c>
      <c r="H682" s="6" t="n"/>
      <c r="I682" s="6" t="n"/>
      <c r="J682" s="6" t="n"/>
      <c r="K682" s="6" t="inlineStr">
        <is>
          <t>pendente</t>
        </is>
      </c>
      <c r="L682" s="6" t="n"/>
      <c r="M682" s="5">
        <f>IF(H682="SIM",1,0)</f>
        <v/>
      </c>
      <c r="N682" s="5">
        <f>IF(AND(H682="SIM",K682="validado",I682&lt;&gt;""),1,0)</f>
        <v/>
      </c>
    </row>
    <row r="683">
      <c r="A683" s="5" t="inlineStr">
        <is>
          <t>ANM</t>
        </is>
      </c>
      <c r="B683" s="5" t="inlineStr">
        <is>
          <t>PS.MC.I</t>
        </is>
      </c>
      <c r="C683" s="5" t="inlineStr">
        <is>
          <t>PS</t>
        </is>
      </c>
      <c r="D683" s="5" t="n">
        <v>2</v>
      </c>
      <c r="E683" s="5" t="inlineStr">
        <is>
          <t>Melhoria Contínua</t>
        </is>
      </c>
      <c r="F683" s="5" t="inlineStr">
        <is>
          <t>I</t>
        </is>
      </c>
      <c r="G683" s="5" t="inlineStr">
        <is>
          <t>A instituição realiza eventos de participação social para a construção do conhecimento sobre dada matéria e para o desenvolvimento de propostas;</t>
        </is>
      </c>
      <c r="H683" s="6" t="n"/>
      <c r="I683" s="6" t="n"/>
      <c r="J683" s="6" t="n"/>
      <c r="K683" s="6" t="inlineStr">
        <is>
          <t>pendente</t>
        </is>
      </c>
      <c r="L683" s="6" t="n"/>
      <c r="M683" s="5">
        <f>IF(H683="SIM",1,0)</f>
        <v/>
      </c>
      <c r="N683" s="5">
        <f>IF(AND(H683="SIM",K683="validado",I683&lt;&gt;""),1,0)</f>
        <v/>
      </c>
    </row>
    <row r="684">
      <c r="A684" s="5" t="inlineStr">
        <is>
          <t>ANM</t>
        </is>
      </c>
      <c r="B684" s="5" t="inlineStr">
        <is>
          <t>PS.GER.I</t>
        </is>
      </c>
      <c r="C684" s="5" t="inlineStr">
        <is>
          <t>PS</t>
        </is>
      </c>
      <c r="D684" s="5" t="n">
        <v>2</v>
      </c>
      <c r="E684" s="5" t="inlineStr">
        <is>
          <t>Gerenciado</t>
        </is>
      </c>
      <c r="F684" s="5" t="inlineStr">
        <is>
          <t>I</t>
        </is>
      </c>
      <c r="G684" s="5" t="inlineStr">
        <is>
          <t>Existência de manual ou ato normativo interno instituindo metodologia e procedimento de participação social;</t>
        </is>
      </c>
      <c r="H684" s="6" t="n"/>
      <c r="I684" s="6" t="n"/>
      <c r="J684" s="6" t="n"/>
      <c r="K684" s="6" t="inlineStr">
        <is>
          <t>pendente</t>
        </is>
      </c>
      <c r="L684" s="6" t="n"/>
      <c r="M684" s="5">
        <f>IF(H684="SIM",1,0)</f>
        <v/>
      </c>
      <c r="N684" s="5">
        <f>IF(AND(H684="SIM",K684="validado",I684&lt;&gt;""),1,0)</f>
        <v/>
      </c>
    </row>
    <row r="685">
      <c r="A685" s="5" t="inlineStr">
        <is>
          <t>ANM</t>
        </is>
      </c>
      <c r="B685" s="5" t="inlineStr">
        <is>
          <t>PS.INI.I</t>
        </is>
      </c>
      <c r="C685" s="5" t="inlineStr">
        <is>
          <t>PS</t>
        </is>
      </c>
      <c r="D685" s="5" t="n">
        <v>2</v>
      </c>
      <c r="E685" s="5" t="inlineStr">
        <is>
          <t>Inicial</t>
        </is>
      </c>
      <c r="F685" s="5" t="inlineStr">
        <is>
          <t>I</t>
        </is>
      </c>
      <c r="G685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685" s="6" t="n"/>
      <c r="I685" s="6" t="n"/>
      <c r="J685" s="6" t="n"/>
      <c r="K685" s="6" t="inlineStr">
        <is>
          <t>pendente</t>
        </is>
      </c>
      <c r="L685" s="6" t="n"/>
      <c r="M685" s="5">
        <f>IF(H685="SIM",1,0)</f>
        <v/>
      </c>
      <c r="N685" s="5">
        <f>IF(AND(H685="SIM",K685="validado",I685&lt;&gt;""),1,0)</f>
        <v/>
      </c>
    </row>
    <row r="686">
      <c r="A686" s="5" t="inlineStr">
        <is>
          <t>ANM</t>
        </is>
      </c>
      <c r="B686" s="5" t="inlineStr">
        <is>
          <t>PS.MC.II</t>
        </is>
      </c>
      <c r="C686" s="5" t="inlineStr">
        <is>
          <t>PS</t>
        </is>
      </c>
      <c r="D686" s="5" t="n">
        <v>2</v>
      </c>
      <c r="E686" s="5" t="inlineStr">
        <is>
          <t>Melhoria Contínua</t>
        </is>
      </c>
      <c r="F686" s="5" t="inlineStr">
        <is>
          <t>II</t>
        </is>
      </c>
      <c r="G686" s="5" t="inlineStr">
        <is>
          <t>Relatórios da Ouvidoria, relatórios do portal consumidor.gov, pesquisas de satisfação e dados de atendimento são utilizados para subsidiar as decisões regulatórias;</t>
        </is>
      </c>
      <c r="H686" s="6" t="n"/>
      <c r="I686" s="6" t="n"/>
      <c r="J686" s="6" t="n"/>
      <c r="K686" s="6" t="inlineStr">
        <is>
          <t>pendente</t>
        </is>
      </c>
      <c r="L686" s="6" t="n"/>
      <c r="M686" s="5">
        <f>IF(H686="SIM",1,0)</f>
        <v/>
      </c>
      <c r="N686" s="5">
        <f>IF(AND(H686="SIM",K686="validado",I686&lt;&gt;""),1,0)</f>
        <v/>
      </c>
    </row>
    <row r="687">
      <c r="A687" s="5" t="inlineStr">
        <is>
          <t>ANM</t>
        </is>
      </c>
      <c r="B687" s="5" t="inlineStr">
        <is>
          <t>PS.GER.II</t>
        </is>
      </c>
      <c r="C687" s="5" t="inlineStr">
        <is>
          <t>PS</t>
        </is>
      </c>
      <c r="D687" s="5" t="n">
        <v>2</v>
      </c>
      <c r="E687" s="5" t="inlineStr">
        <is>
          <t>Gerenciado</t>
        </is>
      </c>
      <c r="F687" s="5" t="inlineStr">
        <is>
          <t>II</t>
        </is>
      </c>
      <c r="G687" s="5" t="inlineStr">
        <is>
          <t>Os relatórios da Ouvidoria e os relatórios do portal consumidor.gov são utilizados para subsidiar as decisões regulatórias;</t>
        </is>
      </c>
      <c r="H687" s="6" t="n"/>
      <c r="I687" s="6" t="n"/>
      <c r="J687" s="6" t="n"/>
      <c r="K687" s="6" t="inlineStr">
        <is>
          <t>pendente</t>
        </is>
      </c>
      <c r="L687" s="6" t="n"/>
      <c r="M687" s="5">
        <f>IF(H687="SIM",1,0)</f>
        <v/>
      </c>
      <c r="N687" s="5">
        <f>IF(AND(H687="SIM",K687="validado",I687&lt;&gt;""),1,0)</f>
        <v/>
      </c>
    </row>
    <row r="688">
      <c r="A688" s="5" t="inlineStr">
        <is>
          <t>ANM</t>
        </is>
      </c>
      <c r="B688" s="5" t="inlineStr">
        <is>
          <t>PS.MC.III</t>
        </is>
      </c>
      <c r="C688" s="5" t="inlineStr">
        <is>
          <t>PS</t>
        </is>
      </c>
      <c r="D688" s="5" t="n">
        <v>2</v>
      </c>
      <c r="E688" s="5" t="inlineStr">
        <is>
          <t>Melhoria Contínua</t>
        </is>
      </c>
      <c r="F688" s="5" t="inlineStr">
        <is>
          <t>III</t>
        </is>
      </c>
      <c r="G688" s="5" t="inlineStr">
        <is>
          <t>Todos os instrumentos, processos e relatórios contendo as contribuições analisadas são divulgados no portal do órgão e/ou plataforma Participa Mais Brasil;</t>
        </is>
      </c>
      <c r="H688" s="6" t="n"/>
      <c r="I688" s="6" t="n"/>
      <c r="J688" s="6" t="n"/>
      <c r="K688" s="6" t="inlineStr">
        <is>
          <t>pendente</t>
        </is>
      </c>
      <c r="L688" s="6" t="n"/>
      <c r="M688" s="5">
        <f>IF(H688="SIM",1,0)</f>
        <v/>
      </c>
      <c r="N688" s="5">
        <f>IF(AND(H688="SIM",K688="validado",I688&lt;&gt;""),1,0)</f>
        <v/>
      </c>
    </row>
    <row r="689">
      <c r="A689" s="5" t="inlineStr">
        <is>
          <t>ANM</t>
        </is>
      </c>
      <c r="B689" s="5" t="inlineStr">
        <is>
          <t>PS.GER.III</t>
        </is>
      </c>
      <c r="C689" s="5" t="inlineStr">
        <is>
          <t>PS</t>
        </is>
      </c>
      <c r="D689" s="5" t="n">
        <v>2</v>
      </c>
      <c r="E689" s="5" t="inlineStr">
        <is>
          <t>Gerenciado</t>
        </is>
      </c>
      <c r="F689" s="5" t="inlineStr">
        <is>
          <t>III</t>
        </is>
      </c>
      <c r="G689" s="5" t="inlineStr">
        <is>
          <t>Todas as informações relativas aos processos em andamento são divulgadas no portal do órgão e/ou plataforma Participa Mais Brasil;</t>
        </is>
      </c>
      <c r="H689" s="6" t="n"/>
      <c r="I689" s="6" t="n"/>
      <c r="J689" s="6" t="n"/>
      <c r="K689" s="6" t="inlineStr">
        <is>
          <t>pendente</t>
        </is>
      </c>
      <c r="L689" s="6" t="n"/>
      <c r="M689" s="5">
        <f>IF(H689="SIM",1,0)</f>
        <v/>
      </c>
      <c r="N689" s="5">
        <f>IF(AND(H689="SIM",K689="validado",I689&lt;&gt;""),1,0)</f>
        <v/>
      </c>
    </row>
    <row r="690">
      <c r="A690" s="5" t="inlineStr">
        <is>
          <t>ANM</t>
        </is>
      </c>
      <c r="B690" s="5" t="inlineStr">
        <is>
          <t>PS.MC.IV</t>
        </is>
      </c>
      <c r="C690" s="5" t="inlineStr">
        <is>
          <t>PS</t>
        </is>
      </c>
      <c r="D690" s="5" t="n">
        <v>2</v>
      </c>
      <c r="E690" s="5" t="inlineStr">
        <is>
          <t>Melhoria Contínua</t>
        </is>
      </c>
      <c r="F690" s="5" t="inlineStr">
        <is>
          <t>IV</t>
        </is>
      </c>
      <c r="G690" s="5" t="inlineStr">
        <is>
          <t>A efetividade do evento de participação social é mensurada, conforme metodologia instituída.</t>
        </is>
      </c>
      <c r="H690" s="6" t="n"/>
      <c r="I690" s="6" t="n"/>
      <c r="J690" s="6" t="n"/>
      <c r="K690" s="6" t="inlineStr">
        <is>
          <t>pendente</t>
        </is>
      </c>
      <c r="L690" s="6" t="n"/>
      <c r="M690" s="5">
        <f>IF(H690="SIM",1,0)</f>
        <v/>
      </c>
      <c r="N690" s="5">
        <f>IF(AND(H690="SIM",K690="validado",I690&lt;&gt;""),1,0)</f>
        <v/>
      </c>
    </row>
    <row r="691">
      <c r="A691" s="5" t="inlineStr">
        <is>
          <t>ANM</t>
        </is>
      </c>
      <c r="B691" s="5" t="inlineStr">
        <is>
          <t>PS.GER.IV</t>
        </is>
      </c>
      <c r="C691" s="5" t="inlineStr">
        <is>
          <t>PS</t>
        </is>
      </c>
      <c r="D691" s="5" t="n">
        <v>2</v>
      </c>
      <c r="E691" s="5" t="inlineStr">
        <is>
          <t>Gerenciado</t>
        </is>
      </c>
      <c r="F691" s="5" t="inlineStr">
        <is>
          <t>IV</t>
        </is>
      </c>
      <c r="G691" s="5" t="inlineStr">
        <is>
          <t>A efetividade do evento de participação social é avaliada de forma intuitiva.</t>
        </is>
      </c>
      <c r="H691" s="6" t="n"/>
      <c r="I691" s="6" t="n"/>
      <c r="J691" s="6" t="n"/>
      <c r="K691" s="6" t="inlineStr">
        <is>
          <t>pendente</t>
        </is>
      </c>
      <c r="L691" s="6" t="n"/>
      <c r="M691" s="5">
        <f>IF(H691="SIM",1,0)</f>
        <v/>
      </c>
      <c r="N691" s="5">
        <f>IF(AND(H691="SIM",K691="validado",I691&lt;&gt;""),1,0)</f>
        <v/>
      </c>
    </row>
    <row r="692">
      <c r="A692" s="5" t="inlineStr">
        <is>
          <t>ANM</t>
        </is>
      </c>
      <c r="B692" s="5" t="inlineStr">
        <is>
          <t>EST.MC.I</t>
        </is>
      </c>
      <c r="C692" s="5" t="inlineStr">
        <is>
          <t>EST</t>
        </is>
      </c>
      <c r="D692" s="5" t="n">
        <v>3</v>
      </c>
      <c r="E692" s="5" t="inlineStr">
        <is>
          <t>Melhoria Contínua</t>
        </is>
      </c>
      <c r="F692" s="5" t="inlineStr">
        <is>
          <t>I</t>
        </is>
      </c>
      <c r="G692" s="5" t="inlineStr">
        <is>
          <t>As alterações do estoque regulatório da instituição são priorizadas por meio de uma agenda regulatória;</t>
        </is>
      </c>
      <c r="H692" s="6" t="n"/>
      <c r="I692" s="6" t="n"/>
      <c r="J692" s="6" t="n"/>
      <c r="K692" s="6" t="inlineStr">
        <is>
          <t>pendente</t>
        </is>
      </c>
      <c r="L692" s="6" t="n"/>
      <c r="M692" s="5">
        <f>IF(H692="SIM",1,0)</f>
        <v/>
      </c>
      <c r="N692" s="5">
        <f>IF(AND(H692="SIM",K692="validado",I692&lt;&gt;""),1,0)</f>
        <v/>
      </c>
    </row>
    <row r="693">
      <c r="A693" s="5" t="inlineStr">
        <is>
          <t>ANM</t>
        </is>
      </c>
      <c r="B693" s="5" t="inlineStr">
        <is>
          <t>EST.GER.I</t>
        </is>
      </c>
      <c r="C693" s="5" t="inlineStr">
        <is>
          <t>EST</t>
        </is>
      </c>
      <c r="D693" s="5" t="n">
        <v>3</v>
      </c>
      <c r="E693" s="5" t="inlineStr">
        <is>
          <t>Gerenciado</t>
        </is>
      </c>
      <c r="F693" s="5" t="inlineStr">
        <is>
          <t>I</t>
        </is>
      </c>
      <c r="G693" s="5" t="inlineStr">
        <is>
          <t>Normas publicadas e disponíveis de maneira sistematizada para consulta pública no portal gov.br;</t>
        </is>
      </c>
      <c r="H693" s="6" t="n"/>
      <c r="I693" s="6" t="n"/>
      <c r="J693" s="6" t="n"/>
      <c r="K693" s="6" t="inlineStr">
        <is>
          <t>pendente</t>
        </is>
      </c>
      <c r="L693" s="6" t="n"/>
      <c r="M693" s="5">
        <f>IF(H693="SIM",1,0)</f>
        <v/>
      </c>
      <c r="N693" s="5">
        <f>IF(AND(H693="SIM",K693="validado",I693&lt;&gt;""),1,0)</f>
        <v/>
      </c>
    </row>
    <row r="694">
      <c r="A694" s="5" t="inlineStr">
        <is>
          <t>ANM</t>
        </is>
      </c>
      <c r="B694" s="5" t="inlineStr">
        <is>
          <t>EST.INI.I</t>
        </is>
      </c>
      <c r="C694" s="5" t="inlineStr">
        <is>
          <t>EST</t>
        </is>
      </c>
      <c r="D694" s="5" t="n">
        <v>3</v>
      </c>
      <c r="E694" s="5" t="inlineStr">
        <is>
          <t>Inicial</t>
        </is>
      </c>
      <c r="F694" s="5" t="inlineStr">
        <is>
          <t>I</t>
        </is>
      </c>
      <c r="G694" s="5" t="inlineStr">
        <is>
          <t>Normas publicadas e disponíveis de maneira sistematizada para consulta pública na internet;</t>
        </is>
      </c>
      <c r="H694" s="6" t="n"/>
      <c r="I694" s="6" t="n"/>
      <c r="J694" s="6" t="n"/>
      <c r="K694" s="6" t="inlineStr">
        <is>
          <t>pendente</t>
        </is>
      </c>
      <c r="L694" s="6" t="n"/>
      <c r="M694" s="5">
        <f>IF(H694="SIM",1,0)</f>
        <v/>
      </c>
      <c r="N694" s="5">
        <f>IF(AND(H694="SIM",K694="validado",I694&lt;&gt;""),1,0)</f>
        <v/>
      </c>
    </row>
    <row r="695">
      <c r="A695" s="5" t="inlineStr">
        <is>
          <t>ANM</t>
        </is>
      </c>
      <c r="B695" s="5" t="inlineStr">
        <is>
          <t>EST.MC.II</t>
        </is>
      </c>
      <c r="C695" s="5" t="inlineStr">
        <is>
          <t>EST</t>
        </is>
      </c>
      <c r="D695" s="5" t="n">
        <v>3</v>
      </c>
      <c r="E695" s="5" t="inlineStr">
        <is>
          <t>Melhoria Contínua</t>
        </is>
      </c>
      <c r="F695" s="5" t="inlineStr">
        <is>
          <t>II</t>
        </is>
      </c>
      <c r="G695" s="5" t="inlineStr">
        <is>
          <t>Todas as novas normas passam pela análise de consolidação e compatibilização de normas vigentes.</t>
        </is>
      </c>
      <c r="H695" s="6" t="n"/>
      <c r="I695" s="6" t="n"/>
      <c r="J695" s="6" t="n"/>
      <c r="K695" s="6" t="inlineStr">
        <is>
          <t>pendente</t>
        </is>
      </c>
      <c r="L695" s="6" t="n"/>
      <c r="M695" s="5">
        <f>IF(H695="SIM",1,0)</f>
        <v/>
      </c>
      <c r="N695" s="5">
        <f>IF(AND(H695="SIM",K695="validado",I695&lt;&gt;""),1,0)</f>
        <v/>
      </c>
    </row>
    <row r="696">
      <c r="A696" s="5" t="inlineStr">
        <is>
          <t>ANM</t>
        </is>
      </c>
      <c r="B696" s="5" t="inlineStr">
        <is>
          <t>EST.GER.II</t>
        </is>
      </c>
      <c r="C696" s="5" t="inlineStr">
        <is>
          <t>EST</t>
        </is>
      </c>
      <c r="D696" s="5" t="n">
        <v>3</v>
      </c>
      <c r="E696" s="5" t="inlineStr">
        <is>
          <t>Gerenciado</t>
        </is>
      </c>
      <c r="F696" s="5" t="inlineStr">
        <is>
          <t>II</t>
        </is>
      </c>
      <c r="G696" s="5" t="inlineStr">
        <is>
          <t>Foi realizado levantamento quantitativo de todas as normas do órgão, bem como análise qualitativa, indexação e classificação por tema;</t>
        </is>
      </c>
      <c r="H696" s="6" t="n"/>
      <c r="I696" s="6" t="n"/>
      <c r="J696" s="6" t="n"/>
      <c r="K696" s="6" t="inlineStr">
        <is>
          <t>pendente</t>
        </is>
      </c>
      <c r="L696" s="6" t="n"/>
      <c r="M696" s="5">
        <f>IF(H696="SIM",1,0)</f>
        <v/>
      </c>
      <c r="N696" s="5">
        <f>IF(AND(H696="SIM",K696="validado",I696&lt;&gt;""),1,0)</f>
        <v/>
      </c>
    </row>
    <row r="697">
      <c r="A697" s="5" t="inlineStr">
        <is>
          <t>ANM</t>
        </is>
      </c>
      <c r="B697" s="5" t="inlineStr">
        <is>
          <t>EST.INI.II</t>
        </is>
      </c>
      <c r="C697" s="5" t="inlineStr">
        <is>
          <t>EST</t>
        </is>
      </c>
      <c r="D697" s="5" t="n">
        <v>3</v>
      </c>
      <c r="E697" s="5" t="inlineStr">
        <is>
          <t>Inicial</t>
        </is>
      </c>
      <c r="F697" s="5" t="inlineStr">
        <is>
          <t>II</t>
        </is>
      </c>
      <c r="G697" s="5" t="inlineStr">
        <is>
          <t>Foi realizado levantamento quantitativo de todas as normas do órgão.</t>
        </is>
      </c>
      <c r="H697" s="6" t="n"/>
      <c r="I697" s="6" t="n"/>
      <c r="J697" s="6" t="n"/>
      <c r="K697" s="6" t="inlineStr">
        <is>
          <t>pendente</t>
        </is>
      </c>
      <c r="L697" s="6" t="n"/>
      <c r="M697" s="5">
        <f>IF(H697="SIM",1,0)</f>
        <v/>
      </c>
      <c r="N697" s="5">
        <f>IF(AND(H697="SIM",K697="validado",I697&lt;&gt;""),1,0)</f>
        <v/>
      </c>
    </row>
    <row r="698">
      <c r="A698" s="5" t="inlineStr">
        <is>
          <t>ANM</t>
        </is>
      </c>
      <c r="B698" s="5" t="inlineStr">
        <is>
          <t>EST.GER.III</t>
        </is>
      </c>
      <c r="C698" s="5" t="inlineStr">
        <is>
          <t>EST</t>
        </is>
      </c>
      <c r="D698" s="5" t="n">
        <v>3</v>
      </c>
      <c r="E698" s="5" t="inlineStr">
        <is>
          <t>Gerenciado</t>
        </is>
      </c>
      <c r="F698" s="5" t="inlineStr">
        <is>
          <t>III</t>
        </is>
      </c>
      <c r="G698" s="5" t="inlineStr">
        <is>
          <t>Para toda a nova norma de alto impacto/alta complexidade foi estimado o fardo regulatório; e</t>
        </is>
      </c>
      <c r="H698" s="6" t="n"/>
      <c r="I698" s="6" t="n"/>
      <c r="J698" s="6" t="n"/>
      <c r="K698" s="6" t="inlineStr">
        <is>
          <t>pendente</t>
        </is>
      </c>
      <c r="L698" s="6" t="n"/>
      <c r="M698" s="5">
        <f>IF(H698="SIM",1,0)</f>
        <v/>
      </c>
      <c r="N698" s="5">
        <f>IF(AND(H698="SIM",K698="validado",I698&lt;&gt;""),1,0)</f>
        <v/>
      </c>
    </row>
    <row r="699">
      <c r="A699" s="5" t="inlineStr">
        <is>
          <t>ANM</t>
        </is>
      </c>
      <c r="B699" s="5" t="inlineStr">
        <is>
          <t>EST.GER.IV</t>
        </is>
      </c>
      <c r="C699" s="5" t="inlineStr">
        <is>
          <t>EST</t>
        </is>
      </c>
      <c r="D699" s="5" t="n">
        <v>3</v>
      </c>
      <c r="E699" s="5" t="inlineStr">
        <is>
          <t>Gerenciado</t>
        </is>
      </c>
      <c r="F699" s="5" t="inlineStr">
        <is>
          <t>IV</t>
        </is>
      </c>
      <c r="G699" s="5" t="inlineStr">
        <is>
          <t>Existe manutenção da consolidação normativa, conforme art. 19 do Decreto nº 10.139, de 28 de novembro de 2019.</t>
        </is>
      </c>
      <c r="H699" s="6" t="n"/>
      <c r="I699" s="6" t="n"/>
      <c r="J699" s="6" t="n"/>
      <c r="K699" s="6" t="inlineStr">
        <is>
          <t>pendente</t>
        </is>
      </c>
      <c r="L699" s="6" t="n"/>
      <c r="M699" s="5">
        <f>IF(H699="SIM",1,0)</f>
        <v/>
      </c>
      <c r="N699" s="5">
        <f>IF(AND(H699="SIM",K699="validado",I699&lt;&gt;""),1,0)</f>
        <v/>
      </c>
    </row>
    <row r="700">
      <c r="A700" s="5" t="inlineStr">
        <is>
          <t>ANM</t>
        </is>
      </c>
      <c r="B700" s="5" t="inlineStr">
        <is>
          <t>AGE.MC.I</t>
        </is>
      </c>
      <c r="C700" s="5" t="inlineStr">
        <is>
          <t>AGE</t>
        </is>
      </c>
      <c r="D700" s="5" t="n">
        <v>4</v>
      </c>
      <c r="E700" s="5" t="inlineStr">
        <is>
          <t>Melhoria Contínua</t>
        </is>
      </c>
      <c r="F700" s="5" t="inlineStr">
        <is>
          <t>I</t>
        </is>
      </c>
      <c r="G700" s="5" t="inlineStr">
        <is>
          <t>A elaboração da agenda regulatória tem ampla participação social, a qual é analisada, respondida e divulgada;</t>
        </is>
      </c>
      <c r="H700" s="6" t="n"/>
      <c r="I700" s="6" t="n"/>
      <c r="J700" s="6" t="n"/>
      <c r="K700" s="6" t="inlineStr">
        <is>
          <t>pendente</t>
        </is>
      </c>
      <c r="L700" s="6" t="n"/>
      <c r="M700" s="5">
        <f>IF(H700="SIM",1,0)</f>
        <v/>
      </c>
      <c r="N700" s="5">
        <f>IF(AND(H700="SIM",K700="validado",I700&lt;&gt;""),1,0)</f>
        <v/>
      </c>
    </row>
    <row r="701">
      <c r="A701" s="5" t="inlineStr">
        <is>
          <t>ANM</t>
        </is>
      </c>
      <c r="B701" s="5" t="inlineStr">
        <is>
          <t>AGE.GER.I</t>
        </is>
      </c>
      <c r="C701" s="5" t="inlineStr">
        <is>
          <t>AGE</t>
        </is>
      </c>
      <c r="D701" s="5" t="n">
        <v>4</v>
      </c>
      <c r="E701" s="5" t="inlineStr">
        <is>
          <t>Gerenciado</t>
        </is>
      </c>
      <c r="F701" s="5" t="inlineStr">
        <is>
          <t>I</t>
        </is>
      </c>
      <c r="G701" s="5" t="inlineStr">
        <is>
          <t>A elaboração da agenda regulatória tem ampla participação social, a qual é analisada, porém não respondida e divulgada;</t>
        </is>
      </c>
      <c r="H701" s="6" t="n"/>
      <c r="I701" s="6" t="n"/>
      <c r="J701" s="6" t="n"/>
      <c r="K701" s="6" t="inlineStr">
        <is>
          <t>pendente</t>
        </is>
      </c>
      <c r="L701" s="6" t="n"/>
      <c r="M701" s="5">
        <f>IF(H701="SIM",1,0)</f>
        <v/>
      </c>
      <c r="N701" s="5">
        <f>IF(AND(H701="SIM",K701="validado",I701&lt;&gt;""),1,0)</f>
        <v/>
      </c>
    </row>
    <row r="702">
      <c r="A702" s="5" t="inlineStr">
        <is>
          <t>ANM</t>
        </is>
      </c>
      <c r="B702" s="5" t="inlineStr">
        <is>
          <t>AGE.INI.I</t>
        </is>
      </c>
      <c r="C702" s="5" t="inlineStr">
        <is>
          <t>AGE</t>
        </is>
      </c>
      <c r="D702" s="5" t="n">
        <v>4</v>
      </c>
      <c r="E702" s="5" t="inlineStr">
        <is>
          <t>Inicial</t>
        </is>
      </c>
      <c r="F702" s="5" t="inlineStr">
        <is>
          <t>I</t>
        </is>
      </c>
      <c r="G702" s="5" t="inlineStr">
        <is>
          <t>Os temas da agenda regulatória são elencados e priorizados pelos gestores da agência;</t>
        </is>
      </c>
      <c r="H702" s="6" t="n"/>
      <c r="I702" s="6" t="n"/>
      <c r="J702" s="6" t="n"/>
      <c r="K702" s="6" t="inlineStr">
        <is>
          <t>pendente</t>
        </is>
      </c>
      <c r="L702" s="6" t="n"/>
      <c r="M702" s="5">
        <f>IF(H702="SIM",1,0)</f>
        <v/>
      </c>
      <c r="N702" s="5">
        <f>IF(AND(H702="SIM",K702="validado",I702&lt;&gt;""),1,0)</f>
        <v/>
      </c>
    </row>
    <row r="703">
      <c r="A703" s="5" t="inlineStr">
        <is>
          <t>ANM</t>
        </is>
      </c>
      <c r="B703" s="5" t="inlineStr">
        <is>
          <t>AGE.MC.II</t>
        </is>
      </c>
      <c r="C703" s="5" t="inlineStr">
        <is>
          <t>AGE</t>
        </is>
      </c>
      <c r="D703" s="5" t="n">
        <v>4</v>
      </c>
      <c r="E703" s="5" t="inlineStr">
        <is>
          <t>Melhoria Contínua</t>
        </is>
      </c>
      <c r="F703" s="5" t="inlineStr">
        <is>
          <t>II</t>
        </is>
      </c>
      <c r="G703" s="5" t="inlineStr">
        <is>
          <t>Os projetos da Agenda Regulatória estão aderentes ao planejamento estratégico vigente e estão correlacionados ao Plano de Gestão Anual;</t>
        </is>
      </c>
      <c r="H703" s="6" t="n"/>
      <c r="I703" s="6" t="n"/>
      <c r="J703" s="6" t="n"/>
      <c r="K703" s="6" t="inlineStr">
        <is>
          <t>pendente</t>
        </is>
      </c>
      <c r="L703" s="6" t="n"/>
      <c r="M703" s="5">
        <f>IF(H703="SIM",1,0)</f>
        <v/>
      </c>
      <c r="N703" s="5">
        <f>IF(AND(H703="SIM",K703="validado",I703&lt;&gt;""),1,0)</f>
        <v/>
      </c>
    </row>
    <row r="704">
      <c r="A704" s="5" t="inlineStr">
        <is>
          <t>ANM</t>
        </is>
      </c>
      <c r="B704" s="5" t="inlineStr">
        <is>
          <t>AGE.GER.II</t>
        </is>
      </c>
      <c r="C704" s="5" t="inlineStr">
        <is>
          <t>AGE</t>
        </is>
      </c>
      <c r="D704" s="5" t="n">
        <v>4</v>
      </c>
      <c r="E704" s="5" t="inlineStr">
        <is>
          <t>Gerenciado</t>
        </is>
      </c>
      <c r="F704" s="5" t="inlineStr">
        <is>
          <t>II</t>
        </is>
      </c>
      <c r="G704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704" s="6" t="n"/>
      <c r="I704" s="6" t="n"/>
      <c r="J704" s="6" t="n"/>
      <c r="K704" s="6" t="inlineStr">
        <is>
          <t>pendente</t>
        </is>
      </c>
      <c r="L704" s="6" t="n"/>
      <c r="M704" s="5">
        <f>IF(H704="SIM",1,0)</f>
        <v/>
      </c>
      <c r="N704" s="5">
        <f>IF(AND(H704="SIM",K704="validado",I704&lt;&gt;""),1,0)</f>
        <v/>
      </c>
    </row>
    <row r="705">
      <c r="A705" s="5" t="inlineStr">
        <is>
          <t>ANM</t>
        </is>
      </c>
      <c r="B705" s="5" t="inlineStr">
        <is>
          <t>AGE.INI.II</t>
        </is>
      </c>
      <c r="C705" s="5" t="inlineStr">
        <is>
          <t>AGE</t>
        </is>
      </c>
      <c r="D705" s="5" t="n">
        <v>4</v>
      </c>
      <c r="E705" s="5" t="inlineStr">
        <is>
          <t>Inicial</t>
        </is>
      </c>
      <c r="F705" s="5" t="inlineStr">
        <is>
          <t>II</t>
        </is>
      </c>
      <c r="G705" s="5" t="inlineStr">
        <is>
          <t>É avaliada a aderência da proposta de Agenda às políticas públicas.</t>
        </is>
      </c>
      <c r="H705" s="6" t="n"/>
      <c r="I705" s="6" t="n"/>
      <c r="J705" s="6" t="n"/>
      <c r="K705" s="6" t="inlineStr">
        <is>
          <t>pendente</t>
        </is>
      </c>
      <c r="L705" s="6" t="n"/>
      <c r="M705" s="5">
        <f>IF(H705="SIM",1,0)</f>
        <v/>
      </c>
      <c r="N705" s="5">
        <f>IF(AND(H705="SIM",K705="validado",I705&lt;&gt;""),1,0)</f>
        <v/>
      </c>
    </row>
    <row r="706">
      <c r="A706" s="5" t="inlineStr">
        <is>
          <t>ANM</t>
        </is>
      </c>
      <c r="B706" s="5" t="inlineStr">
        <is>
          <t>AGE.MC.III</t>
        </is>
      </c>
      <c r="C706" s="5" t="inlineStr">
        <is>
          <t>AGE</t>
        </is>
      </c>
      <c r="D706" s="5" t="n">
        <v>4</v>
      </c>
      <c r="E706" s="5" t="inlineStr">
        <is>
          <t>Melhoria Contínua</t>
        </is>
      </c>
      <c r="F706" s="5" t="inlineStr">
        <is>
          <t>III</t>
        </is>
      </c>
      <c r="G706" s="5" t="inlineStr">
        <is>
          <t>Cumprimento de, no mínimo, 80% da Agenda Regulatória;</t>
        </is>
      </c>
      <c r="H706" s="6" t="n"/>
      <c r="I706" s="6" t="n"/>
      <c r="J706" s="6" t="n"/>
      <c r="K706" s="6" t="inlineStr">
        <is>
          <t>pendente</t>
        </is>
      </c>
      <c r="L706" s="6" t="n"/>
      <c r="M706" s="5">
        <f>IF(H706="SIM",1,0)</f>
        <v/>
      </c>
      <c r="N706" s="5">
        <f>IF(AND(H706="SIM",K706="validado",I706&lt;&gt;""),1,0)</f>
        <v/>
      </c>
    </row>
    <row r="707">
      <c r="A707" s="5" t="inlineStr">
        <is>
          <t>ANM</t>
        </is>
      </c>
      <c r="B707" s="5" t="inlineStr">
        <is>
          <t>AGE.GER.III</t>
        </is>
      </c>
      <c r="C707" s="5" t="inlineStr">
        <is>
          <t>AGE</t>
        </is>
      </c>
      <c r="D707" s="5" t="n">
        <v>4</v>
      </c>
      <c r="E707" s="5" t="inlineStr">
        <is>
          <t>Gerenciado</t>
        </is>
      </c>
      <c r="F707" s="5" t="inlineStr">
        <is>
          <t>III</t>
        </is>
      </c>
      <c r="G707" s="5" t="inlineStr">
        <is>
          <t>Cumprimento de 50% a 79% da Agenda Regulatória;</t>
        </is>
      </c>
      <c r="H707" s="6" t="n"/>
      <c r="I707" s="6" t="n"/>
      <c r="J707" s="6" t="n"/>
      <c r="K707" s="6" t="inlineStr">
        <is>
          <t>pendente</t>
        </is>
      </c>
      <c r="L707" s="6" t="n"/>
      <c r="M707" s="5">
        <f>IF(H707="SIM",1,0)</f>
        <v/>
      </c>
      <c r="N707" s="5">
        <f>IF(AND(H707="SIM",K707="validado",I707&lt;&gt;""),1,0)</f>
        <v/>
      </c>
    </row>
    <row r="708">
      <c r="A708" s="5" t="inlineStr">
        <is>
          <t>ANM</t>
        </is>
      </c>
      <c r="B708" s="5" t="inlineStr">
        <is>
          <t>AGE.MC.IV</t>
        </is>
      </c>
      <c r="C708" s="5" t="inlineStr">
        <is>
          <t>AGE</t>
        </is>
      </c>
      <c r="D708" s="5" t="n">
        <v>4</v>
      </c>
      <c r="E708" s="5" t="inlineStr">
        <is>
          <t>Melhoria Contínua</t>
        </is>
      </c>
      <c r="F708" s="5" t="inlineStr">
        <is>
          <t>IV</t>
        </is>
      </c>
      <c r="G708" s="5" t="inlineStr">
        <is>
          <t>A execução da Agenda Regulatória é periodicamente monitorada e divulgada.</t>
        </is>
      </c>
      <c r="H708" s="6" t="n"/>
      <c r="I708" s="6" t="n"/>
      <c r="J708" s="6" t="n"/>
      <c r="K708" s="6" t="inlineStr">
        <is>
          <t>pendente</t>
        </is>
      </c>
      <c r="L708" s="6" t="n"/>
      <c r="M708" s="5">
        <f>IF(H708="SIM",1,0)</f>
        <v/>
      </c>
      <c r="N708" s="5">
        <f>IF(AND(H708="SIM",K708="validado",I708&lt;&gt;""),1,0)</f>
        <v/>
      </c>
    </row>
    <row r="709">
      <c r="A709" s="5" t="inlineStr">
        <is>
          <t>ANM</t>
        </is>
      </c>
      <c r="B709" s="5" t="inlineStr">
        <is>
          <t>AGE.GER.IV</t>
        </is>
      </c>
      <c r="C709" s="5" t="inlineStr">
        <is>
          <t>AGE</t>
        </is>
      </c>
      <c r="D709" s="5" t="n">
        <v>4</v>
      </c>
      <c r="E709" s="5" t="inlineStr">
        <is>
          <t>Gerenciado</t>
        </is>
      </c>
      <c r="F709" s="5" t="inlineStr">
        <is>
          <t>IV</t>
        </is>
      </c>
      <c r="G709" s="5" t="inlineStr">
        <is>
          <t>A execução da Agenda Regulatória é periodicamente monitorada.</t>
        </is>
      </c>
      <c r="H709" s="6" t="n"/>
      <c r="I709" s="6" t="n"/>
      <c r="J709" s="6" t="n"/>
      <c r="K709" s="6" t="inlineStr">
        <is>
          <t>pendente</t>
        </is>
      </c>
      <c r="L709" s="6" t="n"/>
      <c r="M709" s="5">
        <f>IF(H709="SIM",1,0)</f>
        <v/>
      </c>
      <c r="N709" s="5">
        <f>IF(AND(H709="SIM",K709="validado",I709&lt;&gt;""),1,0)</f>
        <v/>
      </c>
    </row>
    <row r="710">
      <c r="A710" s="5" t="inlineStr">
        <is>
          <t>ANM</t>
        </is>
      </c>
      <c r="B710" s="5" t="inlineStr">
        <is>
          <t>PRO.MC.I</t>
        </is>
      </c>
      <c r="C710" s="5" t="inlineStr">
        <is>
          <t>PRO</t>
        </is>
      </c>
      <c r="D710" s="5" t="n">
        <v>5</v>
      </c>
      <c r="E710" s="5" t="inlineStr">
        <is>
          <t>Melhoria Contínua</t>
        </is>
      </c>
      <c r="F710" s="5" t="inlineStr">
        <is>
          <t>I</t>
        </is>
      </c>
      <c r="G710" s="5" t="inlineStr">
        <is>
          <t>Indicadores de processo normativo estabelecidos e monitorados;</t>
        </is>
      </c>
      <c r="H710" s="6" t="n"/>
      <c r="I710" s="6" t="n"/>
      <c r="J710" s="6" t="n"/>
      <c r="K710" s="6" t="inlineStr">
        <is>
          <t>pendente</t>
        </is>
      </c>
      <c r="L710" s="6" t="n"/>
      <c r="M710" s="5">
        <f>IF(H710="SIM",1,0)</f>
        <v/>
      </c>
      <c r="N710" s="5">
        <f>IF(AND(H710="SIM",K710="validado",I710&lt;&gt;""),1,0)</f>
        <v/>
      </c>
    </row>
    <row r="711">
      <c r="A711" s="5" t="inlineStr">
        <is>
          <t>ANM</t>
        </is>
      </c>
      <c r="B711" s="5" t="inlineStr">
        <is>
          <t>PRO.GER.I</t>
        </is>
      </c>
      <c r="C711" s="5" t="inlineStr">
        <is>
          <t>PRO</t>
        </is>
      </c>
      <c r="D711" s="5" t="n">
        <v>5</v>
      </c>
      <c r="E711" s="5" t="inlineStr">
        <is>
          <t>Gerenciado</t>
        </is>
      </c>
      <c r="F711" s="5" t="inlineStr">
        <is>
          <t>I</t>
        </is>
      </c>
      <c r="G711" s="5" t="inlineStr">
        <is>
          <t>as intervenções de participação social estão claramente inseridas no processo.</t>
        </is>
      </c>
      <c r="H711" s="6" t="n"/>
      <c r="I711" s="6" t="n"/>
      <c r="J711" s="6" t="n"/>
      <c r="K711" s="6" t="inlineStr">
        <is>
          <t>pendente</t>
        </is>
      </c>
      <c r="L711" s="6" t="n"/>
      <c r="M711" s="5">
        <f>IF(H711="SIM",1,0)</f>
        <v/>
      </c>
      <c r="N711" s="5">
        <f>IF(AND(H711="SIM",K711="validado",I711&lt;&gt;""),1,0)</f>
        <v/>
      </c>
    </row>
    <row r="712">
      <c r="A712" s="5" t="inlineStr">
        <is>
          <t>ANM</t>
        </is>
      </c>
      <c r="B712" s="5" t="inlineStr">
        <is>
          <t>PRO.INI.I</t>
        </is>
      </c>
      <c r="C712" s="5" t="inlineStr">
        <is>
          <t>PRO</t>
        </is>
      </c>
      <c r="D712" s="5" t="n">
        <v>5</v>
      </c>
      <c r="E712" s="5" t="inlineStr">
        <is>
          <t>Inicial</t>
        </is>
      </c>
      <c r="F712" s="5" t="inlineStr">
        <is>
          <t>I</t>
        </is>
      </c>
      <c r="G712" s="5" t="inlineStr">
        <is>
          <t>O fluxo do processo normativo é formalizado de forma bem definida e clara;</t>
        </is>
      </c>
      <c r="H712" s="6" t="n"/>
      <c r="I712" s="6" t="n"/>
      <c r="J712" s="6" t="n"/>
      <c r="K712" s="6" t="inlineStr">
        <is>
          <t>pendente</t>
        </is>
      </c>
      <c r="L712" s="6" t="n"/>
      <c r="M712" s="5">
        <f>IF(H712="SIM",1,0)</f>
        <v/>
      </c>
      <c r="N712" s="5">
        <f>IF(AND(H712="SIM",K712="validado",I712&lt;&gt;""),1,0)</f>
        <v/>
      </c>
    </row>
    <row r="713">
      <c r="A713" s="5" t="inlineStr">
        <is>
          <t>ANM</t>
        </is>
      </c>
      <c r="B713" s="5" t="inlineStr">
        <is>
          <t>PRO.MC.II</t>
        </is>
      </c>
      <c r="C713" s="5" t="inlineStr">
        <is>
          <t>PRO</t>
        </is>
      </c>
      <c r="D713" s="5" t="n">
        <v>5</v>
      </c>
      <c r="E713" s="5" t="inlineStr">
        <is>
          <t>Melhoria Contínua</t>
        </is>
      </c>
      <c r="F713" s="5" t="inlineStr">
        <is>
          <t>II</t>
        </is>
      </c>
      <c r="G713" s="5" t="inlineStr">
        <is>
          <t>Há processo contínuo de avaliação e melhoria do processo normativo, utilizando o resultado dos indicadores.</t>
        </is>
      </c>
      <c r="H713" s="6" t="n"/>
      <c r="I713" s="6" t="n"/>
      <c r="J713" s="6" t="n"/>
      <c r="K713" s="6" t="inlineStr">
        <is>
          <t>pendente</t>
        </is>
      </c>
      <c r="L713" s="6" t="n"/>
      <c r="M713" s="5">
        <f>IF(H713="SIM",1,0)</f>
        <v/>
      </c>
      <c r="N713" s="5">
        <f>IF(AND(H713="SIM",K713="validado",I713&lt;&gt;""),1,0)</f>
        <v/>
      </c>
    </row>
    <row r="714">
      <c r="A714" s="5" t="inlineStr">
        <is>
          <t>ANM</t>
        </is>
      </c>
      <c r="B714" s="5" t="inlineStr">
        <is>
          <t>PRO.INI.II</t>
        </is>
      </c>
      <c r="C714" s="5" t="inlineStr">
        <is>
          <t>PRO</t>
        </is>
      </c>
      <c r="D714" s="5" t="n">
        <v>5</v>
      </c>
      <c r="E714" s="5" t="inlineStr">
        <is>
          <t>Inicial</t>
        </is>
      </c>
      <c r="F714" s="5" t="inlineStr">
        <is>
          <t>II</t>
        </is>
      </c>
      <c r="G714" s="5" t="inlineStr">
        <is>
          <t>As instâncias de aprovação estabelecidas são claras e formalizadas.</t>
        </is>
      </c>
      <c r="H714" s="6" t="n"/>
      <c r="I714" s="6" t="n"/>
      <c r="J714" s="6" t="n"/>
      <c r="K714" s="6" t="inlineStr">
        <is>
          <t>pendente</t>
        </is>
      </c>
      <c r="L714" s="6" t="n"/>
      <c r="M714" s="5">
        <f>IF(H714="SIM",1,0)</f>
        <v/>
      </c>
      <c r="N714" s="5">
        <f>IF(AND(H714="SIM",K714="validado",I714&lt;&gt;""),1,0)</f>
        <v/>
      </c>
    </row>
    <row r="715">
      <c r="A715" s="5" t="inlineStr">
        <is>
          <t>ANM</t>
        </is>
      </c>
      <c r="B715" s="5" t="inlineStr">
        <is>
          <t>ARR_CAP.MC.I</t>
        </is>
      </c>
      <c r="C715" s="5" t="inlineStr">
        <is>
          <t>ARR_CAP</t>
        </is>
      </c>
      <c r="D715" s="5" t="n">
        <v>6</v>
      </c>
      <c r="E715" s="5" t="inlineStr">
        <is>
          <t>Melhoria Contínua</t>
        </is>
      </c>
      <c r="F715" s="5" t="inlineStr">
        <is>
          <t>I</t>
        </is>
      </c>
      <c r="G715" s="5" t="inlineStr">
        <is>
          <t>Plano de capacitação formalizado e em execução, incluindo permanente reciclagem em ARR;</t>
        </is>
      </c>
      <c r="H715" s="6" t="n"/>
      <c r="I715" s="6" t="n"/>
      <c r="J715" s="6" t="n"/>
      <c r="K715" s="6" t="inlineStr">
        <is>
          <t>pendente</t>
        </is>
      </c>
      <c r="L715" s="6" t="n"/>
      <c r="M715" s="5">
        <f>IF(H715="SIM",1,0)</f>
        <v/>
      </c>
      <c r="N715" s="5">
        <f>IF(AND(H715="SIM",K715="validado",I715&lt;&gt;""),1,0)</f>
        <v/>
      </c>
    </row>
    <row r="716">
      <c r="A716" s="5" t="inlineStr">
        <is>
          <t>ANM</t>
        </is>
      </c>
      <c r="B716" s="5" t="inlineStr">
        <is>
          <t>ARR_CAP.GER.I</t>
        </is>
      </c>
      <c r="C716" s="5" t="inlineStr">
        <is>
          <t>ARR_CAP</t>
        </is>
      </c>
      <c r="D716" s="5" t="n">
        <v>6</v>
      </c>
      <c r="E716" s="5" t="inlineStr">
        <is>
          <t>Gerenciado</t>
        </is>
      </c>
      <c r="F716" s="5" t="inlineStr">
        <is>
          <t>I</t>
        </is>
      </c>
      <c r="G716" s="5" t="inlineStr">
        <is>
          <t>Capacitações institucionalizadas, sem um plano formalizado;</t>
        </is>
      </c>
      <c r="H716" s="6" t="n"/>
      <c r="I716" s="6" t="n"/>
      <c r="J716" s="6" t="n"/>
      <c r="K716" s="6" t="inlineStr">
        <is>
          <t>pendente</t>
        </is>
      </c>
      <c r="L716" s="6" t="n"/>
      <c r="M716" s="5">
        <f>IF(H716="SIM",1,0)</f>
        <v/>
      </c>
      <c r="N716" s="5">
        <f>IF(AND(H716="SIM",K716="validado",I716&lt;&gt;""),1,0)</f>
        <v/>
      </c>
    </row>
    <row r="717">
      <c r="A717" s="5" t="inlineStr">
        <is>
          <t>ANM</t>
        </is>
      </c>
      <c r="B717" s="5" t="inlineStr">
        <is>
          <t>ARR_CAP.INI.I</t>
        </is>
      </c>
      <c r="C717" s="5" t="inlineStr">
        <is>
          <t>ARR_CAP</t>
        </is>
      </c>
      <c r="D717" s="5" t="n">
        <v>6</v>
      </c>
      <c r="E717" s="5" t="inlineStr">
        <is>
          <t>Inicial</t>
        </is>
      </c>
      <c r="F717" s="5" t="inlineStr">
        <is>
          <t>I</t>
        </is>
      </c>
      <c r="G717" s="5" t="inlineStr">
        <is>
          <t>Capacitações não estão institucionalizadas;</t>
        </is>
      </c>
      <c r="H717" s="6" t="n"/>
      <c r="I717" s="6" t="n"/>
      <c r="J717" s="6" t="n"/>
      <c r="K717" s="6" t="inlineStr">
        <is>
          <t>pendente</t>
        </is>
      </c>
      <c r="L717" s="6" t="n"/>
      <c r="M717" s="5">
        <f>IF(H717="SIM",1,0)</f>
        <v/>
      </c>
      <c r="N717" s="5">
        <f>IF(AND(H717="SIM",K717="validado",I717&lt;&gt;""),1,0)</f>
        <v/>
      </c>
    </row>
    <row r="718">
      <c r="A718" s="5" t="inlineStr">
        <is>
          <t>ANM</t>
        </is>
      </c>
      <c r="B718" s="5" t="inlineStr">
        <is>
          <t>ARR_CAP.MC.II</t>
        </is>
      </c>
      <c r="C718" s="5" t="inlineStr">
        <is>
          <t>ARR_CAP</t>
        </is>
      </c>
      <c r="D718" s="5" t="n">
        <v>6</v>
      </c>
      <c r="E718" s="5" t="inlineStr">
        <is>
          <t>Melhoria Contínua</t>
        </is>
      </c>
      <c r="F718" s="5" t="inlineStr">
        <is>
          <t>II</t>
        </is>
      </c>
      <c r="G718" s="5" t="inlineStr">
        <is>
          <t>No mínimo, 75% dos servidores envolvidos em elaboração de regulação capacitados em ARR.</t>
        </is>
      </c>
      <c r="H718" s="6" t="n"/>
      <c r="I718" s="6" t="n"/>
      <c r="J718" s="6" t="n"/>
      <c r="K718" s="6" t="inlineStr">
        <is>
          <t>pendente</t>
        </is>
      </c>
      <c r="L718" s="6" t="n"/>
      <c r="M718" s="5">
        <f>IF(H718="SIM",1,0)</f>
        <v/>
      </c>
      <c r="N718" s="5">
        <f>IF(AND(H718="SIM",K718="validado",I718&lt;&gt;""),1,0)</f>
        <v/>
      </c>
    </row>
    <row r="719">
      <c r="A719" s="5" t="inlineStr">
        <is>
          <t>ANM</t>
        </is>
      </c>
      <c r="B719" s="5" t="inlineStr">
        <is>
          <t>ARR_CAP.GER.II</t>
        </is>
      </c>
      <c r="C719" s="5" t="inlineStr">
        <is>
          <t>ARR_CAP</t>
        </is>
      </c>
      <c r="D719" s="5" t="n">
        <v>6</v>
      </c>
      <c r="E719" s="5" t="inlineStr">
        <is>
          <t>Gerenciado</t>
        </is>
      </c>
      <c r="F719" s="5" t="inlineStr">
        <is>
          <t>II</t>
        </is>
      </c>
      <c r="G719" s="5" t="inlineStr">
        <is>
          <t>de 50% a 74% dos servidores envolvidos em elaboração de regulação capacitados em ARR;</t>
        </is>
      </c>
      <c r="H719" s="6" t="n"/>
      <c r="I719" s="6" t="n"/>
      <c r="J719" s="6" t="n"/>
      <c r="K719" s="6" t="inlineStr">
        <is>
          <t>pendente</t>
        </is>
      </c>
      <c r="L719" s="6" t="n"/>
      <c r="M719" s="5">
        <f>IF(H719="SIM",1,0)</f>
        <v/>
      </c>
      <c r="N719" s="5">
        <f>IF(AND(H719="SIM",K719="validado",I719&lt;&gt;""),1,0)</f>
        <v/>
      </c>
    </row>
    <row r="720">
      <c r="A720" s="5" t="inlineStr">
        <is>
          <t>ANM</t>
        </is>
      </c>
      <c r="B720" s="5" t="inlineStr">
        <is>
          <t>ARR_CAP.INI.II</t>
        </is>
      </c>
      <c r="C720" s="5" t="inlineStr">
        <is>
          <t>ARR_CAP</t>
        </is>
      </c>
      <c r="D720" s="5" t="n">
        <v>6</v>
      </c>
      <c r="E720" s="5" t="inlineStr">
        <is>
          <t>Inicial</t>
        </is>
      </c>
      <c r="F720" s="5" t="inlineStr">
        <is>
          <t>II</t>
        </is>
      </c>
      <c r="G720" s="5" t="inlineStr">
        <is>
          <t>de 25% a 49% dos servidores envolvidos em elaboração de regulação capacitados em ARR.</t>
        </is>
      </c>
      <c r="H720" s="6" t="n"/>
      <c r="I720" s="6" t="n"/>
      <c r="J720" s="6" t="n"/>
      <c r="K720" s="6" t="inlineStr">
        <is>
          <t>pendente</t>
        </is>
      </c>
      <c r="L720" s="6" t="n"/>
      <c r="M720" s="5">
        <f>IF(H720="SIM",1,0)</f>
        <v/>
      </c>
      <c r="N720" s="5">
        <f>IF(AND(H720="SIM",K720="validado",I720&lt;&gt;""),1,0)</f>
        <v/>
      </c>
    </row>
    <row r="721">
      <c r="A721" s="5" t="inlineStr">
        <is>
          <t>ANM</t>
        </is>
      </c>
      <c r="B721" s="5" t="inlineStr">
        <is>
          <t>ARR_MET.MC.I</t>
        </is>
      </c>
      <c r="C721" s="5" t="inlineStr">
        <is>
          <t>ARR_MET</t>
        </is>
      </c>
      <c r="D721" s="5" t="n">
        <v>6</v>
      </c>
      <c r="E721" s="5" t="inlineStr">
        <is>
          <t>Melhoria Contínua</t>
        </is>
      </c>
      <c r="F721" s="5" t="inlineStr">
        <is>
          <t>I</t>
        </is>
      </c>
      <c r="G721" s="5" t="inlineStr">
        <is>
          <t>Metodologia de elaboração de ARR contempla a participação social, conforme complexidade do ato;</t>
        </is>
      </c>
      <c r="H721" s="6" t="n"/>
      <c r="I721" s="6" t="n"/>
      <c r="J721" s="6" t="n"/>
      <c r="K721" s="6" t="inlineStr">
        <is>
          <t>pendente</t>
        </is>
      </c>
      <c r="L721" s="6" t="n"/>
      <c r="M721" s="5">
        <f>IF(H721="SIM",1,0)</f>
        <v/>
      </c>
      <c r="N721" s="5">
        <f>IF(AND(H721="SIM",K721="validado",I721&lt;&gt;""),1,0)</f>
        <v/>
      </c>
    </row>
    <row r="722">
      <c r="A722" s="5" t="inlineStr">
        <is>
          <t>ANM</t>
        </is>
      </c>
      <c r="B722" s="5" t="inlineStr">
        <is>
          <t>ARR_MET.GER.I</t>
        </is>
      </c>
      <c r="C722" s="5" t="inlineStr">
        <is>
          <t>ARR_MET</t>
        </is>
      </c>
      <c r="D722" s="5" t="n">
        <v>6</v>
      </c>
      <c r="E722" s="5" t="inlineStr">
        <is>
          <t>Gerenciado</t>
        </is>
      </c>
      <c r="F722" s="5" t="inlineStr">
        <is>
          <t>I</t>
        </is>
      </c>
      <c r="G722" s="5" t="inlineStr">
        <is>
          <t>Existência de manual ou ato normativo instituindo a aplicabilidade de ARR no órgão;</t>
        </is>
      </c>
      <c r="H722" s="6" t="n"/>
      <c r="I722" s="6" t="n"/>
      <c r="J722" s="6" t="n"/>
      <c r="K722" s="6" t="inlineStr">
        <is>
          <t>pendente</t>
        </is>
      </c>
      <c r="L722" s="6" t="n"/>
      <c r="M722" s="5">
        <f>IF(H722="SIM",1,0)</f>
        <v/>
      </c>
      <c r="N722" s="5">
        <f>IF(AND(H722="SIM",K722="validado",I722&lt;&gt;""),1,0)</f>
        <v/>
      </c>
    </row>
    <row r="723">
      <c r="A723" s="5" t="inlineStr">
        <is>
          <t>ANM</t>
        </is>
      </c>
      <c r="B723" s="5" t="inlineStr">
        <is>
          <t>ARR_MET.INI.I</t>
        </is>
      </c>
      <c r="C723" s="5" t="inlineStr">
        <is>
          <t>ARR_MET</t>
        </is>
      </c>
      <c r="D723" s="5" t="n">
        <v>6</v>
      </c>
      <c r="E723" s="5" t="inlineStr">
        <is>
          <t>Inicial</t>
        </is>
      </c>
      <c r="F723" s="5" t="inlineStr">
        <is>
          <t>I</t>
        </is>
      </c>
      <c r="G723" s="5" t="inlineStr">
        <is>
          <t>existe Agenda de ARR, conforme determinado no Decreto nº 10.411, de 2020.</t>
        </is>
      </c>
      <c r="H723" s="6" t="n"/>
      <c r="I723" s="6" t="n"/>
      <c r="J723" s="6" t="n"/>
      <c r="K723" s="6" t="inlineStr">
        <is>
          <t>pendente</t>
        </is>
      </c>
      <c r="L723" s="6" t="n"/>
      <c r="M723" s="5">
        <f>IF(H723="SIM",1,0)</f>
        <v/>
      </c>
      <c r="N723" s="5">
        <f>IF(AND(H723="SIM",K723="validado",I723&lt;&gt;""),1,0)</f>
        <v/>
      </c>
    </row>
    <row r="724">
      <c r="A724" s="5" t="inlineStr">
        <is>
          <t>ANM</t>
        </is>
      </c>
      <c r="B724" s="5" t="inlineStr">
        <is>
          <t>ARR_MET.MC.II</t>
        </is>
      </c>
      <c r="C724" s="5" t="inlineStr">
        <is>
          <t>ARR_MET</t>
        </is>
      </c>
      <c r="D724" s="5" t="n">
        <v>6</v>
      </c>
      <c r="E724" s="5" t="inlineStr">
        <is>
          <t>Melhoria Contínua</t>
        </is>
      </c>
      <c r="F724" s="5" t="inlineStr">
        <is>
          <t>II</t>
        </is>
      </c>
      <c r="G724" s="5" t="inlineStr">
        <is>
          <t>Existência de Agenda de ARR integrada com a Agenda Regulatória.</t>
        </is>
      </c>
      <c r="H724" s="6" t="n"/>
      <c r="I724" s="6" t="n"/>
      <c r="J724" s="6" t="n"/>
      <c r="K724" s="6" t="inlineStr">
        <is>
          <t>pendente</t>
        </is>
      </c>
      <c r="L724" s="6" t="n"/>
      <c r="M724" s="5">
        <f>IF(H724="SIM",1,0)</f>
        <v/>
      </c>
      <c r="N724" s="5">
        <f>IF(AND(H724="SIM",K724="validado",I724&lt;&gt;""),1,0)</f>
        <v/>
      </c>
    </row>
    <row r="725">
      <c r="A725" s="5" t="inlineStr">
        <is>
          <t>ANM</t>
        </is>
      </c>
      <c r="B725" s="5" t="inlineStr">
        <is>
          <t>ARR_MET.GER.II</t>
        </is>
      </c>
      <c r="C725" s="5" t="inlineStr">
        <is>
          <t>ARR_MET</t>
        </is>
      </c>
      <c r="D725" s="5" t="n">
        <v>6</v>
      </c>
      <c r="E725" s="5" t="inlineStr">
        <is>
          <t>Gerenciado</t>
        </is>
      </c>
      <c r="F725" s="5" t="inlineStr">
        <is>
          <t>II</t>
        </is>
      </c>
      <c r="G725" s="5" t="inlineStr">
        <is>
          <t>Metodologia de elaboração da Agenda de ARR contempla participação social.</t>
        </is>
      </c>
      <c r="H725" s="6" t="n"/>
      <c r="I725" s="6" t="n"/>
      <c r="J725" s="6" t="n"/>
      <c r="K725" s="6" t="inlineStr">
        <is>
          <t>pendente</t>
        </is>
      </c>
      <c r="L725" s="6" t="n"/>
      <c r="M725" s="5">
        <f>IF(H725="SIM",1,0)</f>
        <v/>
      </c>
      <c r="N725" s="5">
        <f>IF(AND(H725="SIM",K725="validado",I725&lt;&gt;""),1,0)</f>
        <v/>
      </c>
    </row>
    <row r="726">
      <c r="A726" s="5" t="inlineStr">
        <is>
          <t>ANM</t>
        </is>
      </c>
      <c r="B726" s="5" t="inlineStr">
        <is>
          <t>ARR_PRO.MC.I</t>
        </is>
      </c>
      <c r="C726" s="5" t="inlineStr">
        <is>
          <t>ARR_PRO</t>
        </is>
      </c>
      <c r="D726" s="5" t="n">
        <v>6</v>
      </c>
      <c r="E726" s="5" t="inlineStr">
        <is>
          <t>Melhoria Contínua</t>
        </is>
      </c>
      <c r="F726" s="5" t="inlineStr">
        <is>
          <t>I</t>
        </is>
      </c>
      <c r="G726" s="5" t="inlineStr">
        <is>
          <t>Há processo contínuo de avaliação e melhoria do processo de elaboração de ARR;</t>
        </is>
      </c>
      <c r="H726" s="6" t="n"/>
      <c r="I726" s="6" t="n"/>
      <c r="J726" s="6" t="n"/>
      <c r="K726" s="6" t="inlineStr">
        <is>
          <t>pendente</t>
        </is>
      </c>
      <c r="L726" s="6" t="n"/>
      <c r="M726" s="5">
        <f>IF(H726="SIM",1,0)</f>
        <v/>
      </c>
      <c r="N726" s="5">
        <f>IF(AND(H726="SIM",K726="validado",I726&lt;&gt;""),1,0)</f>
        <v/>
      </c>
    </row>
    <row r="727">
      <c r="A727" s="5" t="inlineStr">
        <is>
          <t>ANM</t>
        </is>
      </c>
      <c r="B727" s="5" t="inlineStr">
        <is>
          <t>ARR_PRO.GER.I</t>
        </is>
      </c>
      <c r="C727" s="5" t="inlineStr">
        <is>
          <t>ARR_PRO</t>
        </is>
      </c>
      <c r="D727" s="5" t="n">
        <v>6</v>
      </c>
      <c r="E727" s="5" t="inlineStr">
        <is>
          <t>Gerenciado</t>
        </is>
      </c>
      <c r="F727" s="5" t="inlineStr">
        <is>
          <t>I</t>
        </is>
      </c>
      <c r="G727" s="5" t="inlineStr">
        <is>
          <t>ARR é realizada conforme manual ou ato normativo;</t>
        </is>
      </c>
      <c r="H727" s="6" t="n"/>
      <c r="I727" s="6" t="n"/>
      <c r="J727" s="6" t="n"/>
      <c r="K727" s="6" t="inlineStr">
        <is>
          <t>pendente</t>
        </is>
      </c>
      <c r="L727" s="6" t="n"/>
      <c r="M727" s="5">
        <f>IF(H727="SIM",1,0)</f>
        <v/>
      </c>
      <c r="N727" s="5">
        <f>IF(AND(H727="SIM",K727="validado",I727&lt;&gt;""),1,0)</f>
        <v/>
      </c>
    </row>
    <row r="728">
      <c r="A728" s="5" t="inlineStr">
        <is>
          <t>ANM</t>
        </is>
      </c>
      <c r="B728" s="5" t="inlineStr">
        <is>
          <t>ARR_PRO.INI.I</t>
        </is>
      </c>
      <c r="C728" s="5" t="inlineStr">
        <is>
          <t>ARR_PRO</t>
        </is>
      </c>
      <c r="D728" s="5" t="n">
        <v>6</v>
      </c>
      <c r="E728" s="5" t="inlineStr">
        <is>
          <t>Inicial</t>
        </is>
      </c>
      <c r="F728" s="5" t="inlineStr">
        <is>
          <t>I</t>
        </is>
      </c>
      <c r="G728" s="5" t="inlineStr">
        <is>
          <t>Todas as ARRs são publicadas e acessíveis ao público na internet;</t>
        </is>
      </c>
      <c r="H728" s="6" t="n"/>
      <c r="I728" s="6" t="n"/>
      <c r="J728" s="6" t="n"/>
      <c r="K728" s="6" t="inlineStr">
        <is>
          <t>pendente</t>
        </is>
      </c>
      <c r="L728" s="6" t="n"/>
      <c r="M728" s="5">
        <f>IF(H728="SIM",1,0)</f>
        <v/>
      </c>
      <c r="N728" s="5">
        <f>IF(AND(H728="SIM",K728="validado",I728&lt;&gt;""),1,0)</f>
        <v/>
      </c>
    </row>
    <row r="729">
      <c r="A729" s="5" t="inlineStr">
        <is>
          <t>ANM</t>
        </is>
      </c>
      <c r="B729" s="5" t="inlineStr">
        <is>
          <t>ARR_PRO.MC.II</t>
        </is>
      </c>
      <c r="C729" s="5" t="inlineStr">
        <is>
          <t>ARR_PRO</t>
        </is>
      </c>
      <c r="D729" s="5" t="n">
        <v>6</v>
      </c>
      <c r="E729" s="5" t="inlineStr">
        <is>
          <t>Melhoria Contínua</t>
        </is>
      </c>
      <c r="F729" s="5" t="inlineStr">
        <is>
          <t>II</t>
        </is>
      </c>
      <c r="G729" s="5" t="inlineStr">
        <is>
          <t>A execução da Agenda de ARR é periodicamente monitorada e divulgada.</t>
        </is>
      </c>
      <c r="H729" s="6" t="n"/>
      <c r="I729" s="6" t="n"/>
      <c r="J729" s="6" t="n"/>
      <c r="K729" s="6" t="inlineStr">
        <is>
          <t>pendente</t>
        </is>
      </c>
      <c r="L729" s="6" t="n"/>
      <c r="M729" s="5">
        <f>IF(H729="SIM",1,0)</f>
        <v/>
      </c>
      <c r="N729" s="5">
        <f>IF(AND(H729="SIM",K729="validado",I729&lt;&gt;""),1,0)</f>
        <v/>
      </c>
    </row>
    <row r="730">
      <c r="A730" s="5" t="inlineStr">
        <is>
          <t>ANM</t>
        </is>
      </c>
      <c r="B730" s="5" t="inlineStr">
        <is>
          <t>ARR_PRO.GER.II</t>
        </is>
      </c>
      <c r="C730" s="5" t="inlineStr">
        <is>
          <t>ARR_PRO</t>
        </is>
      </c>
      <c r="D730" s="5" t="n">
        <v>6</v>
      </c>
      <c r="E730" s="5" t="inlineStr">
        <is>
          <t>Gerenciado</t>
        </is>
      </c>
      <c r="F730" s="5" t="inlineStr">
        <is>
          <t>II</t>
        </is>
      </c>
      <c r="G730" s="5" t="inlineStr">
        <is>
          <t>ARRs de alto impacto/alta complexidade foram submetidas à participação social.</t>
        </is>
      </c>
      <c r="H730" s="6" t="n"/>
      <c r="I730" s="6" t="n"/>
      <c r="J730" s="6" t="n"/>
      <c r="K730" s="6" t="inlineStr">
        <is>
          <t>pendente</t>
        </is>
      </c>
      <c r="L730" s="6" t="n"/>
      <c r="M730" s="5">
        <f>IF(H730="SIM",1,0)</f>
        <v/>
      </c>
      <c r="N730" s="5">
        <f>IF(AND(H730="SIM",K730="validado",I730&lt;&gt;""),1,0)</f>
        <v/>
      </c>
    </row>
    <row r="731">
      <c r="A731" s="5" t="inlineStr">
        <is>
          <t>ANM</t>
        </is>
      </c>
      <c r="B731" s="5" t="inlineStr">
        <is>
          <t>ARR_PRO.INI.II</t>
        </is>
      </c>
      <c r="C731" s="5" t="inlineStr">
        <is>
          <t>ARR_PRO</t>
        </is>
      </c>
      <c r="D731" s="5" t="n">
        <v>6</v>
      </c>
      <c r="E731" s="5" t="inlineStr">
        <is>
          <t>Inicial</t>
        </is>
      </c>
      <c r="F731" s="5" t="inlineStr">
        <is>
          <t>II</t>
        </is>
      </c>
      <c r="G731" s="5" t="inlineStr">
        <is>
          <t>A agenda de ARR está publicada no site do órgão.</t>
        </is>
      </c>
      <c r="H731" s="6" t="n"/>
      <c r="I731" s="6" t="n"/>
      <c r="J731" s="6" t="n"/>
      <c r="K731" s="6" t="inlineStr">
        <is>
          <t>pendente</t>
        </is>
      </c>
      <c r="L731" s="6" t="n"/>
      <c r="M731" s="5">
        <f>IF(H731="SIM",1,0)</f>
        <v/>
      </c>
      <c r="N731" s="5">
        <f>IF(AND(H731="SIM",K731="validado",I731&lt;&gt;""),1,0)</f>
        <v/>
      </c>
    </row>
    <row r="732">
      <c r="A732" s="5" t="inlineStr">
        <is>
          <t>ANCINE</t>
        </is>
      </c>
      <c r="B732" s="5" t="inlineStr">
        <is>
          <t>AIR_CAP.MC.I</t>
        </is>
      </c>
      <c r="C732" s="5" t="inlineStr">
        <is>
          <t>AIR_CAP</t>
        </is>
      </c>
      <c r="D732" s="5" t="n">
        <v>1</v>
      </c>
      <c r="E732" s="5" t="inlineStr">
        <is>
          <t>Melhoria Contínua</t>
        </is>
      </c>
      <c r="F732" s="5" t="inlineStr">
        <is>
          <t>I</t>
        </is>
      </c>
      <c r="G732" s="5" t="inlineStr">
        <is>
          <t>Plano de capacitação formalizado e em execução, incluindo permanente reciclagem em técnicas de AIR;</t>
        </is>
      </c>
      <c r="H732" s="6" t="n"/>
      <c r="I732" s="6" t="n"/>
      <c r="J732" s="6" t="n"/>
      <c r="K732" s="6" t="inlineStr">
        <is>
          <t>pendente</t>
        </is>
      </c>
      <c r="L732" s="6" t="n"/>
      <c r="M732" s="5">
        <f>IF(H732="SIM",1,0)</f>
        <v/>
      </c>
      <c r="N732" s="5">
        <f>IF(AND(H732="SIM",K732="validado",I732&lt;&gt;""),1,0)</f>
        <v/>
      </c>
    </row>
    <row r="733">
      <c r="A733" s="5" t="inlineStr">
        <is>
          <t>ANCINE</t>
        </is>
      </c>
      <c r="B733" s="5" t="inlineStr">
        <is>
          <t>AIR_CAP.GER.I</t>
        </is>
      </c>
      <c r="C733" s="5" t="inlineStr">
        <is>
          <t>AIR_CAP</t>
        </is>
      </c>
      <c r="D733" s="5" t="n">
        <v>1</v>
      </c>
      <c r="E733" s="5" t="inlineStr">
        <is>
          <t>Gerenciado</t>
        </is>
      </c>
      <c r="F733" s="5" t="inlineStr">
        <is>
          <t>I</t>
        </is>
      </c>
      <c r="G733" s="5" t="inlineStr">
        <is>
          <t>Capacitações em AIR estão institucionalizadas, sem um plano formalizado;</t>
        </is>
      </c>
      <c r="H733" s="6" t="n"/>
      <c r="I733" s="6" t="n"/>
      <c r="J733" s="6" t="n"/>
      <c r="K733" s="6" t="inlineStr">
        <is>
          <t>pendente</t>
        </is>
      </c>
      <c r="L733" s="6" t="n"/>
      <c r="M733" s="5">
        <f>IF(H733="SIM",1,0)</f>
        <v/>
      </c>
      <c r="N733" s="5">
        <f>IF(AND(H733="SIM",K733="validado",I733&lt;&gt;""),1,0)</f>
        <v/>
      </c>
    </row>
    <row r="734">
      <c r="A734" s="5" t="inlineStr">
        <is>
          <t>ANCINE</t>
        </is>
      </c>
      <c r="B734" s="5" t="inlineStr">
        <is>
          <t>AIR_CAP.INI.I</t>
        </is>
      </c>
      <c r="C734" s="5" t="inlineStr">
        <is>
          <t>AIR_CAP</t>
        </is>
      </c>
      <c r="D734" s="5" t="n">
        <v>1</v>
      </c>
      <c r="E734" s="5" t="inlineStr">
        <is>
          <t>Inicial</t>
        </is>
      </c>
      <c r="F734" s="5" t="inlineStr">
        <is>
          <t>I</t>
        </is>
      </c>
      <c r="G734" s="5" t="inlineStr">
        <is>
          <t>Capacitações em AIR não estão institucionalizadas;</t>
        </is>
      </c>
      <c r="H734" s="6" t="n"/>
      <c r="I734" s="6" t="n"/>
      <c r="J734" s="6" t="n"/>
      <c r="K734" s="6" t="inlineStr">
        <is>
          <t>pendente</t>
        </is>
      </c>
      <c r="L734" s="6" t="n"/>
      <c r="M734" s="5">
        <f>IF(H734="SIM",1,0)</f>
        <v/>
      </c>
      <c r="N734" s="5">
        <f>IF(AND(H734="SIM",K734="validado",I734&lt;&gt;""),1,0)</f>
        <v/>
      </c>
    </row>
    <row r="735">
      <c r="A735" s="5" t="inlineStr">
        <is>
          <t>ANCINE</t>
        </is>
      </c>
      <c r="B735" s="5" t="inlineStr">
        <is>
          <t>AIR_CAP.MC.II</t>
        </is>
      </c>
      <c r="C735" s="5" t="inlineStr">
        <is>
          <t>AIR_CAP</t>
        </is>
      </c>
      <c r="D735" s="5" t="n">
        <v>1</v>
      </c>
      <c r="E735" s="5" t="inlineStr">
        <is>
          <t>Melhoria Contínua</t>
        </is>
      </c>
      <c r="F735" s="5" t="inlineStr">
        <is>
          <t>II</t>
        </is>
      </c>
      <c r="G735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35" s="6" t="n"/>
      <c r="I735" s="6" t="n"/>
      <c r="J735" s="6" t="n"/>
      <c r="K735" s="6" t="inlineStr">
        <is>
          <t>pendente</t>
        </is>
      </c>
      <c r="L735" s="6" t="n"/>
      <c r="M735" s="5">
        <f>IF(H735="SIM",1,0)</f>
        <v/>
      </c>
      <c r="N735" s="5">
        <f>IF(AND(H735="SIM",K735="validado",I735&lt;&gt;""),1,0)</f>
        <v/>
      </c>
    </row>
    <row r="736">
      <c r="A736" s="5" t="inlineStr">
        <is>
          <t>ANCINE</t>
        </is>
      </c>
      <c r="B736" s="5" t="inlineStr">
        <is>
          <t>AIR_CAP.GER.II</t>
        </is>
      </c>
      <c r="C736" s="5" t="inlineStr">
        <is>
          <t>AIR_CAP</t>
        </is>
      </c>
      <c r="D736" s="5" t="n">
        <v>1</v>
      </c>
      <c r="E736" s="5" t="inlineStr">
        <is>
          <t>Gerenciado</t>
        </is>
      </c>
      <c r="F736" s="5" t="inlineStr">
        <is>
          <t>II</t>
        </is>
      </c>
      <c r="G736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736" s="6" t="n"/>
      <c r="I736" s="6" t="n"/>
      <c r="J736" s="6" t="n"/>
      <c r="K736" s="6" t="inlineStr">
        <is>
          <t>pendente</t>
        </is>
      </c>
      <c r="L736" s="6" t="n"/>
      <c r="M736" s="5">
        <f>IF(H736="SIM",1,0)</f>
        <v/>
      </c>
      <c r="N736" s="5">
        <f>IF(AND(H736="SIM",K736="validado",I736&lt;&gt;""),1,0)</f>
        <v/>
      </c>
    </row>
    <row r="737">
      <c r="A737" s="5" t="inlineStr">
        <is>
          <t>ANCINE</t>
        </is>
      </c>
      <c r="B737" s="5" t="inlineStr">
        <is>
          <t>AIR_CAP.INI.II</t>
        </is>
      </c>
      <c r="C737" s="5" t="inlineStr">
        <is>
          <t>AIR_CAP</t>
        </is>
      </c>
      <c r="D737" s="5" t="n">
        <v>1</v>
      </c>
      <c r="E737" s="5" t="inlineStr">
        <is>
          <t>Inicial</t>
        </is>
      </c>
      <c r="F737" s="5" t="inlineStr">
        <is>
          <t>II</t>
        </is>
      </c>
      <c r="G737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737" s="6" t="n"/>
      <c r="I737" s="6" t="n"/>
      <c r="J737" s="6" t="n"/>
      <c r="K737" s="6" t="inlineStr">
        <is>
          <t>pendente</t>
        </is>
      </c>
      <c r="L737" s="6" t="n"/>
      <c r="M737" s="5">
        <f>IF(H737="SIM",1,0)</f>
        <v/>
      </c>
      <c r="N737" s="5">
        <f>IF(AND(H737="SIM",K737="validado",I737&lt;&gt;""),1,0)</f>
        <v/>
      </c>
    </row>
    <row r="738">
      <c r="A738" s="5" t="inlineStr">
        <is>
          <t>ANCINE</t>
        </is>
      </c>
      <c r="B738" s="5" t="inlineStr">
        <is>
          <t>AIR_CAP.MC.III</t>
        </is>
      </c>
      <c r="C738" s="5" t="inlineStr">
        <is>
          <t>AIR_CAP</t>
        </is>
      </c>
      <c r="D738" s="5" t="n">
        <v>1</v>
      </c>
      <c r="E738" s="5" t="inlineStr">
        <is>
          <t>Melhoria Contínua</t>
        </is>
      </c>
      <c r="F738" s="5" t="inlineStr">
        <is>
          <t>III</t>
        </is>
      </c>
      <c r="G738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738" s="6" t="n"/>
      <c r="I738" s="6" t="n"/>
      <c r="J738" s="6" t="n"/>
      <c r="K738" s="6" t="inlineStr">
        <is>
          <t>pendente</t>
        </is>
      </c>
      <c r="L738" s="6" t="n"/>
      <c r="M738" s="5">
        <f>IF(H738="SIM",1,0)</f>
        <v/>
      </c>
      <c r="N738" s="5">
        <f>IF(AND(H738="SIM",K738="validado",I738&lt;&gt;""),1,0)</f>
        <v/>
      </c>
    </row>
    <row r="739">
      <c r="A739" s="5" t="inlineStr">
        <is>
          <t>ANCINE</t>
        </is>
      </c>
      <c r="B739" s="5" t="inlineStr">
        <is>
          <t>AIR_CAP.GER.III</t>
        </is>
      </c>
      <c r="C739" s="5" t="inlineStr">
        <is>
          <t>AIR_CAP</t>
        </is>
      </c>
      <c r="D739" s="5" t="n">
        <v>1</v>
      </c>
      <c r="E739" s="5" t="inlineStr">
        <is>
          <t>Gerenciado</t>
        </is>
      </c>
      <c r="F739" s="5" t="inlineStr">
        <is>
          <t>III</t>
        </is>
      </c>
      <c r="G739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739" s="6" t="n"/>
      <c r="I739" s="6" t="n"/>
      <c r="J739" s="6" t="n"/>
      <c r="K739" s="6" t="inlineStr">
        <is>
          <t>pendente</t>
        </is>
      </c>
      <c r="L739" s="6" t="n"/>
      <c r="M739" s="5">
        <f>IF(H739="SIM",1,0)</f>
        <v/>
      </c>
      <c r="N739" s="5">
        <f>IF(AND(H739="SIM",K739="validado",I739&lt;&gt;""),1,0)</f>
        <v/>
      </c>
    </row>
    <row r="740">
      <c r="A740" s="5" t="inlineStr">
        <is>
          <t>ANCINE</t>
        </is>
      </c>
      <c r="B740" s="5" t="inlineStr">
        <is>
          <t>AIR_CAP.INI.III</t>
        </is>
      </c>
      <c r="C740" s="5" t="inlineStr">
        <is>
          <t>AIR_CAP</t>
        </is>
      </c>
      <c r="D740" s="5" t="n">
        <v>1</v>
      </c>
      <c r="E740" s="5" t="inlineStr">
        <is>
          <t>Inicial</t>
        </is>
      </c>
      <c r="F740" s="5" t="inlineStr">
        <is>
          <t>III</t>
        </is>
      </c>
      <c r="G740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740" s="6" t="n"/>
      <c r="I740" s="6" t="n"/>
      <c r="J740" s="6" t="n"/>
      <c r="K740" s="6" t="inlineStr">
        <is>
          <t>pendente</t>
        </is>
      </c>
      <c r="L740" s="6" t="n"/>
      <c r="M740" s="5">
        <f>IF(H740="SIM",1,0)</f>
        <v/>
      </c>
      <c r="N740" s="5">
        <f>IF(AND(H740="SIM",K740="validado",I740&lt;&gt;""),1,0)</f>
        <v/>
      </c>
    </row>
    <row r="741">
      <c r="A741" s="5" t="inlineStr">
        <is>
          <t>ANCINE</t>
        </is>
      </c>
      <c r="B741" s="5" t="inlineStr">
        <is>
          <t>AIR_CAP.GER.IV</t>
        </is>
      </c>
      <c r="C741" s="5" t="inlineStr">
        <is>
          <t>AIR_CAP</t>
        </is>
      </c>
      <c r="D741" s="5" t="n">
        <v>1</v>
      </c>
      <c r="E741" s="5" t="inlineStr">
        <is>
          <t>Gerenciado</t>
        </is>
      </c>
      <c r="F741" s="5" t="inlineStr">
        <is>
          <t>IV</t>
        </is>
      </c>
      <c r="G741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741" s="6" t="n"/>
      <c r="I741" s="6" t="n"/>
      <c r="J741" s="6" t="n"/>
      <c r="K741" s="6" t="inlineStr">
        <is>
          <t>pendente</t>
        </is>
      </c>
      <c r="L741" s="6" t="n"/>
      <c r="M741" s="5">
        <f>IF(H741="SIM",1,0)</f>
        <v/>
      </c>
      <c r="N741" s="5">
        <f>IF(AND(H741="SIM",K741="validado",I741&lt;&gt;""),1,0)</f>
        <v/>
      </c>
    </row>
    <row r="742">
      <c r="A742" s="5" t="inlineStr">
        <is>
          <t>ANCINE</t>
        </is>
      </c>
      <c r="B742" s="5" t="inlineStr">
        <is>
          <t>AIR_MET.MC.I</t>
        </is>
      </c>
      <c r="C742" s="5" t="inlineStr">
        <is>
          <t>AIR_MET</t>
        </is>
      </c>
      <c r="D742" s="5" t="n">
        <v>1</v>
      </c>
      <c r="E742" s="5" t="inlineStr">
        <is>
          <t>Melhoria Contínua</t>
        </is>
      </c>
      <c r="F742" s="5" t="inlineStr">
        <is>
          <t>I</t>
        </is>
      </c>
      <c r="G742" s="5" t="inlineStr">
        <is>
          <t>Critérios objetivos estabelecidos para classificação quanto ao nível de impacto e complexidade da AIR;</t>
        </is>
      </c>
      <c r="H742" s="6" t="n"/>
      <c r="I742" s="6" t="n"/>
      <c r="J742" s="6" t="n"/>
      <c r="K742" s="6" t="inlineStr">
        <is>
          <t>pendente</t>
        </is>
      </c>
      <c r="L742" s="6" t="n"/>
      <c r="M742" s="5">
        <f>IF(H742="SIM",1,0)</f>
        <v/>
      </c>
      <c r="N742" s="5">
        <f>IF(AND(H742="SIM",K742="validado",I742&lt;&gt;""),1,0)</f>
        <v/>
      </c>
    </row>
    <row r="743">
      <c r="A743" s="5" t="inlineStr">
        <is>
          <t>ANCINE</t>
        </is>
      </c>
      <c r="B743" s="5" t="inlineStr">
        <is>
          <t>AIR_MET.GER.I</t>
        </is>
      </c>
      <c r="C743" s="5" t="inlineStr">
        <is>
          <t>AIR_MET</t>
        </is>
      </c>
      <c r="D743" s="5" t="n">
        <v>1</v>
      </c>
      <c r="E743" s="5" t="inlineStr">
        <is>
          <t>Gerenciado</t>
        </is>
      </c>
      <c r="F743" s="5" t="inlineStr">
        <is>
          <t>I</t>
        </is>
      </c>
      <c r="G743" s="5" t="inlineStr">
        <is>
          <t>Existência de manual ou ato normativo interno instituindo a aplicabilidade institucional da AIR;</t>
        </is>
      </c>
      <c r="H743" s="6" t="n"/>
      <c r="I743" s="6" t="n"/>
      <c r="J743" s="6" t="n"/>
      <c r="K743" s="6" t="inlineStr">
        <is>
          <t>pendente</t>
        </is>
      </c>
      <c r="L743" s="6" t="n"/>
      <c r="M743" s="5">
        <f>IF(H743="SIM",1,0)</f>
        <v/>
      </c>
      <c r="N743" s="5">
        <f>IF(AND(H743="SIM",K743="validado",I743&lt;&gt;""),1,0)</f>
        <v/>
      </c>
    </row>
    <row r="744">
      <c r="A744" s="5" t="inlineStr">
        <is>
          <t>ANCINE</t>
        </is>
      </c>
      <c r="B744" s="5" t="inlineStr">
        <is>
          <t>AIR_MET.INI.I</t>
        </is>
      </c>
      <c r="C744" s="5" t="inlineStr">
        <is>
          <t>AIR_MET</t>
        </is>
      </c>
      <c r="D744" s="5" t="n">
        <v>1</v>
      </c>
      <c r="E744" s="5" t="inlineStr">
        <is>
          <t>Inicial</t>
        </is>
      </c>
      <c r="F744" s="5" t="inlineStr">
        <is>
          <t>I</t>
        </is>
      </c>
      <c r="G744" s="5" t="inlineStr">
        <is>
          <t>houve a publicação de normativo interno dispondo sobre a aplicação da AIR na instituição, conforme Decreto nº 10.411, de 2020.</t>
        </is>
      </c>
      <c r="H744" s="6" t="n"/>
      <c r="I744" s="6" t="n"/>
      <c r="J744" s="6" t="n"/>
      <c r="K744" s="6" t="inlineStr">
        <is>
          <t>pendente</t>
        </is>
      </c>
      <c r="L744" s="6" t="n"/>
      <c r="M744" s="5">
        <f>IF(H744="SIM",1,0)</f>
        <v/>
      </c>
      <c r="N744" s="5">
        <f>IF(AND(H744="SIM",K744="validado",I744&lt;&gt;""),1,0)</f>
        <v/>
      </c>
    </row>
    <row r="745">
      <c r="A745" s="5" t="inlineStr">
        <is>
          <t>ANCINE</t>
        </is>
      </c>
      <c r="B745" s="5" t="inlineStr">
        <is>
          <t>AIR_MET.MC.II</t>
        </is>
      </c>
      <c r="C745" s="5" t="inlineStr">
        <is>
          <t>AIR_MET</t>
        </is>
      </c>
      <c r="D745" s="5" t="n">
        <v>1</v>
      </c>
      <c r="E745" s="5" t="inlineStr">
        <is>
          <t>Melhoria Contínua</t>
        </is>
      </c>
      <c r="F745" s="5" t="inlineStr">
        <is>
          <t>II</t>
        </is>
      </c>
      <c r="G745" s="5" t="inlineStr">
        <is>
          <t>Metodologia contempla participação social prévia e posterior à elaboração da AIR, conforme complexidade do ato.</t>
        </is>
      </c>
      <c r="H745" s="6" t="n"/>
      <c r="I745" s="6" t="n"/>
      <c r="J745" s="6" t="n"/>
      <c r="K745" s="6" t="inlineStr">
        <is>
          <t>pendente</t>
        </is>
      </c>
      <c r="L745" s="6" t="n"/>
      <c r="M745" s="5">
        <f>IF(H745="SIM",1,0)</f>
        <v/>
      </c>
      <c r="N745" s="5">
        <f>IF(AND(H745="SIM",K745="validado",I745&lt;&gt;""),1,0)</f>
        <v/>
      </c>
    </row>
    <row r="746">
      <c r="A746" s="5" t="inlineStr">
        <is>
          <t>ANCINE</t>
        </is>
      </c>
      <c r="B746" s="5" t="inlineStr">
        <is>
          <t>AIR_MET.GER.II</t>
        </is>
      </c>
      <c r="C746" s="5" t="inlineStr">
        <is>
          <t>AIR_MET</t>
        </is>
      </c>
      <c r="D746" s="5" t="n">
        <v>1</v>
      </c>
      <c r="E746" s="5" t="inlineStr">
        <is>
          <t>Gerenciado</t>
        </is>
      </c>
      <c r="F746" s="5" t="inlineStr">
        <is>
          <t>II</t>
        </is>
      </c>
      <c r="G746" s="5" t="inlineStr">
        <is>
          <t>Existência de manual ou ato normativo dispondo sobre a participação social posterior relativa à AIR.</t>
        </is>
      </c>
      <c r="H746" s="6" t="n"/>
      <c r="I746" s="6" t="n"/>
      <c r="J746" s="6" t="n"/>
      <c r="K746" s="6" t="inlineStr">
        <is>
          <t>pendente</t>
        </is>
      </c>
      <c r="L746" s="6" t="n"/>
      <c r="M746" s="5">
        <f>IF(H746="SIM",1,0)</f>
        <v/>
      </c>
      <c r="N746" s="5">
        <f>IF(AND(H746="SIM",K746="validado",I746&lt;&gt;""),1,0)</f>
        <v/>
      </c>
    </row>
    <row r="747">
      <c r="A747" s="5" t="inlineStr">
        <is>
          <t>ANCINE</t>
        </is>
      </c>
      <c r="B747" s="5" t="inlineStr">
        <is>
          <t>AIR_PRO.MC.I</t>
        </is>
      </c>
      <c r="C747" s="5" t="inlineStr">
        <is>
          <t>AIR_PRO</t>
        </is>
      </c>
      <c r="D747" s="5" t="n">
        <v>1</v>
      </c>
      <c r="E747" s="5" t="inlineStr">
        <is>
          <t>Melhoria Contínua</t>
        </is>
      </c>
      <c r="F747" s="5" t="inlineStr">
        <is>
          <t>I</t>
        </is>
      </c>
      <c r="G747" s="5" t="inlineStr">
        <is>
          <t>Há processo contínuo de avaliação e melhoria do processo de elaboração de AIR;</t>
        </is>
      </c>
      <c r="H747" s="6" t="n"/>
      <c r="I747" s="6" t="n"/>
      <c r="J747" s="6" t="n"/>
      <c r="K747" s="6" t="inlineStr">
        <is>
          <t>pendente</t>
        </is>
      </c>
      <c r="L747" s="6" t="n"/>
      <c r="M747" s="5">
        <f>IF(H747="SIM",1,0)</f>
        <v/>
      </c>
      <c r="N747" s="5">
        <f>IF(AND(H747="SIM",K747="validado",I747&lt;&gt;""),1,0)</f>
        <v/>
      </c>
    </row>
    <row r="748">
      <c r="A748" s="5" t="inlineStr">
        <is>
          <t>ANCINE</t>
        </is>
      </c>
      <c r="B748" s="5" t="inlineStr">
        <is>
          <t>AIR_PRO.GER.I</t>
        </is>
      </c>
      <c r="C748" s="5" t="inlineStr">
        <is>
          <t>AIR_PRO</t>
        </is>
      </c>
      <c r="D748" s="5" t="n">
        <v>1</v>
      </c>
      <c r="E748" s="5" t="inlineStr">
        <is>
          <t>Gerenciado</t>
        </is>
      </c>
      <c r="F748" s="5" t="inlineStr">
        <is>
          <t>I</t>
        </is>
      </c>
      <c r="G748" s="5" t="inlineStr">
        <is>
          <t>Todas as AIRs são sempre realizadas conforme manual ou ato normativo interno e publicadas e acessíveis ao público na internet;</t>
        </is>
      </c>
      <c r="H748" s="6" t="n"/>
      <c r="I748" s="6" t="n"/>
      <c r="J748" s="6" t="n"/>
      <c r="K748" s="6" t="inlineStr">
        <is>
          <t>pendente</t>
        </is>
      </c>
      <c r="L748" s="6" t="n"/>
      <c r="M748" s="5">
        <f>IF(H748="SIM",1,0)</f>
        <v/>
      </c>
      <c r="N748" s="5">
        <f>IF(AND(H748="SIM",K748="validado",I748&lt;&gt;""),1,0)</f>
        <v/>
      </c>
    </row>
    <row r="749">
      <c r="A749" s="5" t="inlineStr">
        <is>
          <t>ANCINE</t>
        </is>
      </c>
      <c r="B749" s="5" t="inlineStr">
        <is>
          <t>AIR_PRO.INI.I</t>
        </is>
      </c>
      <c r="C749" s="5" t="inlineStr">
        <is>
          <t>AIR_PRO</t>
        </is>
      </c>
      <c r="D749" s="5" t="n">
        <v>1</v>
      </c>
      <c r="E749" s="5" t="inlineStr">
        <is>
          <t>Inicial</t>
        </is>
      </c>
      <c r="F749" s="5" t="inlineStr">
        <is>
          <t>I</t>
        </is>
      </c>
      <c r="G749" s="5" t="inlineStr">
        <is>
          <t>AIR é sempre realizada e a dispensa justificada, conforme critérios objetivos estabelecidos, conforme Decreto nº 10.411, de 2020;</t>
        </is>
      </c>
      <c r="H749" s="6" t="n"/>
      <c r="I749" s="6" t="n"/>
      <c r="J749" s="6" t="n"/>
      <c r="K749" s="6" t="inlineStr">
        <is>
          <t>pendente</t>
        </is>
      </c>
      <c r="L749" s="6" t="n"/>
      <c r="M749" s="5">
        <f>IF(H749="SIM",1,0)</f>
        <v/>
      </c>
      <c r="N749" s="5">
        <f>IF(AND(H749="SIM",K749="validado",I749&lt;&gt;""),1,0)</f>
        <v/>
      </c>
    </row>
    <row r="750">
      <c r="A750" s="5" t="inlineStr">
        <is>
          <t>ANCINE</t>
        </is>
      </c>
      <c r="B750" s="5" t="inlineStr">
        <is>
          <t>AIR_PRO.MC.II</t>
        </is>
      </c>
      <c r="C750" s="5" t="inlineStr">
        <is>
          <t>AIR_PRO</t>
        </is>
      </c>
      <c r="D750" s="5" t="n">
        <v>1</v>
      </c>
      <c r="E750" s="5" t="inlineStr">
        <is>
          <t>Melhoria Contínua</t>
        </is>
      </c>
      <c r="F750" s="5" t="inlineStr">
        <is>
          <t>II</t>
        </is>
      </c>
      <c r="G750" s="5" t="inlineStr">
        <is>
          <t>Existência de instrumento de avaliação de qualidade das AIRs realizadas;</t>
        </is>
      </c>
      <c r="H750" s="6" t="n"/>
      <c r="I750" s="6" t="n"/>
      <c r="J750" s="6" t="n"/>
      <c r="K750" s="6" t="inlineStr">
        <is>
          <t>pendente</t>
        </is>
      </c>
      <c r="L750" s="6" t="n"/>
      <c r="M750" s="5">
        <f>IF(H750="SIM",1,0)</f>
        <v/>
      </c>
      <c r="N750" s="5">
        <f>IF(AND(H750="SIM",K750="validado",I750&lt;&gt;""),1,0)</f>
        <v/>
      </c>
    </row>
    <row r="751">
      <c r="A751" s="5" t="inlineStr">
        <is>
          <t>ANCINE</t>
        </is>
      </c>
      <c r="B751" s="5" t="inlineStr">
        <is>
          <t>AIR_PRO.GER.II</t>
        </is>
      </c>
      <c r="C751" s="5" t="inlineStr">
        <is>
          <t>AIR_PRO</t>
        </is>
      </c>
      <c r="D751" s="5" t="n">
        <v>1</v>
      </c>
      <c r="E751" s="5" t="inlineStr">
        <is>
          <t>Gerenciado</t>
        </is>
      </c>
      <c r="F751" s="5" t="inlineStr">
        <is>
          <t>II</t>
        </is>
      </c>
      <c r="G751" s="5" t="inlineStr">
        <is>
          <t>O processo de elaboração de AIR está mapeado na instituição;</t>
        </is>
      </c>
      <c r="H751" s="6" t="n"/>
      <c r="I751" s="6" t="n"/>
      <c r="J751" s="6" t="n"/>
      <c r="K751" s="6" t="inlineStr">
        <is>
          <t>pendente</t>
        </is>
      </c>
      <c r="L751" s="6" t="n"/>
      <c r="M751" s="5">
        <f>IF(H751="SIM",1,0)</f>
        <v/>
      </c>
      <c r="N751" s="5">
        <f>IF(AND(H751="SIM",K751="validado",I751&lt;&gt;""),1,0)</f>
        <v/>
      </c>
    </row>
    <row r="752">
      <c r="A752" s="5" t="inlineStr">
        <is>
          <t>ANCINE</t>
        </is>
      </c>
      <c r="B752" s="5" t="inlineStr">
        <is>
          <t>AIR_PRO.INI.II</t>
        </is>
      </c>
      <c r="C752" s="5" t="inlineStr">
        <is>
          <t>AIR_PRO</t>
        </is>
      </c>
      <c r="D752" s="5" t="n">
        <v>1</v>
      </c>
      <c r="E752" s="5" t="inlineStr">
        <is>
          <t>Inicial</t>
        </is>
      </c>
      <c r="F752" s="5" t="inlineStr">
        <is>
          <t>II</t>
        </is>
      </c>
      <c r="G752" s="5" t="inlineStr">
        <is>
          <t>Todas as AIRs são publicadas e acessíveis ao público na internet;</t>
        </is>
      </c>
      <c r="H752" s="6" t="n"/>
      <c r="I752" s="6" t="n"/>
      <c r="J752" s="6" t="n"/>
      <c r="K752" s="6" t="inlineStr">
        <is>
          <t>pendente</t>
        </is>
      </c>
      <c r="L752" s="6" t="n"/>
      <c r="M752" s="5">
        <f>IF(H752="SIM",1,0)</f>
        <v/>
      </c>
      <c r="N752" s="5">
        <f>IF(AND(H752="SIM",K752="validado",I752&lt;&gt;""),1,0)</f>
        <v/>
      </c>
    </row>
    <row r="753">
      <c r="A753" s="5" t="inlineStr">
        <is>
          <t>ANCINE</t>
        </is>
      </c>
      <c r="B753" s="5" t="inlineStr">
        <is>
          <t>AIR_PRO.MC.III</t>
        </is>
      </c>
      <c r="C753" s="5" t="inlineStr">
        <is>
          <t>AIR_PRO</t>
        </is>
      </c>
      <c r="D753" s="5" t="n">
        <v>1</v>
      </c>
      <c r="E753" s="5" t="inlineStr">
        <is>
          <t>Melhoria Contínua</t>
        </is>
      </c>
      <c r="F753" s="5" t="inlineStr">
        <is>
          <t>III</t>
        </is>
      </c>
      <c r="G753" s="5" t="inlineStr">
        <is>
          <t>As AIRs de alto impacto/alta complexidade são submetidas à participação social prévia e posterior.</t>
        </is>
      </c>
      <c r="H753" s="6" t="n"/>
      <c r="I753" s="6" t="n"/>
      <c r="J753" s="6" t="n"/>
      <c r="K753" s="6" t="inlineStr">
        <is>
          <t>pendente</t>
        </is>
      </c>
      <c r="L753" s="6" t="n"/>
      <c r="M753" s="5">
        <f>IF(H753="SIM",1,0)</f>
        <v/>
      </c>
      <c r="N753" s="5">
        <f>IF(AND(H753="SIM",K753="validado",I753&lt;&gt;""),1,0)</f>
        <v/>
      </c>
    </row>
    <row r="754">
      <c r="A754" s="5" t="inlineStr">
        <is>
          <t>ANCINE</t>
        </is>
      </c>
      <c r="B754" s="5" t="inlineStr">
        <is>
          <t>AIR_PRO.GER.III</t>
        </is>
      </c>
      <c r="C754" s="5" t="inlineStr">
        <is>
          <t>AIR_PRO</t>
        </is>
      </c>
      <c r="D754" s="5" t="n">
        <v>1</v>
      </c>
      <c r="E754" s="5" t="inlineStr">
        <is>
          <t>Gerenciado</t>
        </is>
      </c>
      <c r="F754" s="5" t="inlineStr">
        <is>
          <t>III</t>
        </is>
      </c>
      <c r="G754" s="5" t="inlineStr">
        <is>
          <t>As AIRs são objeto de participação social posterior, conforme decisão técnica.</t>
        </is>
      </c>
      <c r="H754" s="6" t="n"/>
      <c r="I754" s="6" t="n"/>
      <c r="J754" s="6" t="n"/>
      <c r="K754" s="6" t="inlineStr">
        <is>
          <t>pendente</t>
        </is>
      </c>
      <c r="L754" s="6" t="n"/>
      <c r="M754" s="5">
        <f>IF(H754="SIM",1,0)</f>
        <v/>
      </c>
      <c r="N754" s="5">
        <f>IF(AND(H754="SIM",K754="validado",I754&lt;&gt;""),1,0)</f>
        <v/>
      </c>
    </row>
    <row r="755">
      <c r="A755" s="5" t="inlineStr">
        <is>
          <t>ANCINE</t>
        </is>
      </c>
      <c r="B755" s="5" t="inlineStr">
        <is>
          <t>AIR_PRO.INI.III</t>
        </is>
      </c>
      <c r="C755" s="5" t="inlineStr">
        <is>
          <t>AIR_PRO</t>
        </is>
      </c>
      <c r="D755" s="5" t="n">
        <v>1</v>
      </c>
      <c r="E755" s="5" t="inlineStr">
        <is>
          <t>Inicial</t>
        </is>
      </c>
      <c r="F755" s="5" t="inlineStr">
        <is>
          <t>III</t>
        </is>
      </c>
      <c r="G755" s="5" t="inlineStr">
        <is>
          <t>Participação Social é realizada, conforme Decreto nº 10.411, de 2020.</t>
        </is>
      </c>
      <c r="H755" s="6" t="n"/>
      <c r="I755" s="6" t="n"/>
      <c r="J755" s="6" t="n"/>
      <c r="K755" s="6" t="inlineStr">
        <is>
          <t>pendente</t>
        </is>
      </c>
      <c r="L755" s="6" t="n"/>
      <c r="M755" s="5">
        <f>IF(H755="SIM",1,0)</f>
        <v/>
      </c>
      <c r="N755" s="5">
        <f>IF(AND(H755="SIM",K755="validado",I755&lt;&gt;""),1,0)</f>
        <v/>
      </c>
    </row>
    <row r="756">
      <c r="A756" s="5" t="inlineStr">
        <is>
          <t>ANCINE</t>
        </is>
      </c>
      <c r="B756" s="5" t="inlineStr">
        <is>
          <t>PS.MC.I</t>
        </is>
      </c>
      <c r="C756" s="5" t="inlineStr">
        <is>
          <t>PS</t>
        </is>
      </c>
      <c r="D756" s="5" t="n">
        <v>2</v>
      </c>
      <c r="E756" s="5" t="inlineStr">
        <is>
          <t>Melhoria Contínua</t>
        </is>
      </c>
      <c r="F756" s="5" t="inlineStr">
        <is>
          <t>I</t>
        </is>
      </c>
      <c r="G756" s="5" t="inlineStr">
        <is>
          <t>A instituição realiza eventos de participação social para a construção do conhecimento sobre dada matéria e para o desenvolvimento de propostas;</t>
        </is>
      </c>
      <c r="H756" s="6" t="n"/>
      <c r="I756" s="6" t="n"/>
      <c r="J756" s="6" t="n"/>
      <c r="K756" s="6" t="inlineStr">
        <is>
          <t>pendente</t>
        </is>
      </c>
      <c r="L756" s="6" t="n"/>
      <c r="M756" s="5">
        <f>IF(H756="SIM",1,0)</f>
        <v/>
      </c>
      <c r="N756" s="5">
        <f>IF(AND(H756="SIM",K756="validado",I756&lt;&gt;""),1,0)</f>
        <v/>
      </c>
    </row>
    <row r="757">
      <c r="A757" s="5" t="inlineStr">
        <is>
          <t>ANCINE</t>
        </is>
      </c>
      <c r="B757" s="5" t="inlineStr">
        <is>
          <t>PS.GER.I</t>
        </is>
      </c>
      <c r="C757" s="5" t="inlineStr">
        <is>
          <t>PS</t>
        </is>
      </c>
      <c r="D757" s="5" t="n">
        <v>2</v>
      </c>
      <c r="E757" s="5" t="inlineStr">
        <is>
          <t>Gerenciado</t>
        </is>
      </c>
      <c r="F757" s="5" t="inlineStr">
        <is>
          <t>I</t>
        </is>
      </c>
      <c r="G757" s="5" t="inlineStr">
        <is>
          <t>Existência de manual ou ato normativo interno instituindo metodologia e procedimento de participação social;</t>
        </is>
      </c>
      <c r="H757" s="6" t="n"/>
      <c r="I757" s="6" t="n"/>
      <c r="J757" s="6" t="n"/>
      <c r="K757" s="6" t="inlineStr">
        <is>
          <t>pendente</t>
        </is>
      </c>
      <c r="L757" s="6" t="n"/>
      <c r="M757" s="5">
        <f>IF(H757="SIM",1,0)</f>
        <v/>
      </c>
      <c r="N757" s="5">
        <f>IF(AND(H757="SIM",K757="validado",I757&lt;&gt;""),1,0)</f>
        <v/>
      </c>
    </row>
    <row r="758">
      <c r="A758" s="5" t="inlineStr">
        <is>
          <t>ANCINE</t>
        </is>
      </c>
      <c r="B758" s="5" t="inlineStr">
        <is>
          <t>PS.INI.I</t>
        </is>
      </c>
      <c r="C758" s="5" t="inlineStr">
        <is>
          <t>PS</t>
        </is>
      </c>
      <c r="D758" s="5" t="n">
        <v>2</v>
      </c>
      <c r="E758" s="5" t="inlineStr">
        <is>
          <t>Inicial</t>
        </is>
      </c>
      <c r="F758" s="5" t="inlineStr">
        <is>
          <t>I</t>
        </is>
      </c>
      <c r="G758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758" s="6" t="n"/>
      <c r="I758" s="6" t="n"/>
      <c r="J758" s="6" t="n"/>
      <c r="K758" s="6" t="inlineStr">
        <is>
          <t>pendente</t>
        </is>
      </c>
      <c r="L758" s="6" t="n"/>
      <c r="M758" s="5">
        <f>IF(H758="SIM",1,0)</f>
        <v/>
      </c>
      <c r="N758" s="5">
        <f>IF(AND(H758="SIM",K758="validado",I758&lt;&gt;""),1,0)</f>
        <v/>
      </c>
    </row>
    <row r="759">
      <c r="A759" s="5" t="inlineStr">
        <is>
          <t>ANCINE</t>
        </is>
      </c>
      <c r="B759" s="5" t="inlineStr">
        <is>
          <t>PS.MC.II</t>
        </is>
      </c>
      <c r="C759" s="5" t="inlineStr">
        <is>
          <t>PS</t>
        </is>
      </c>
      <c r="D759" s="5" t="n">
        <v>2</v>
      </c>
      <c r="E759" s="5" t="inlineStr">
        <is>
          <t>Melhoria Contínua</t>
        </is>
      </c>
      <c r="F759" s="5" t="inlineStr">
        <is>
          <t>II</t>
        </is>
      </c>
      <c r="G759" s="5" t="inlineStr">
        <is>
          <t>Relatórios da Ouvidoria, relatórios do portal consumidor.gov, pesquisas de satisfação e dados de atendimento são utilizados para subsidiar as decisões regulatórias;</t>
        </is>
      </c>
      <c r="H759" s="6" t="n"/>
      <c r="I759" s="6" t="n"/>
      <c r="J759" s="6" t="n"/>
      <c r="K759" s="6" t="inlineStr">
        <is>
          <t>pendente</t>
        </is>
      </c>
      <c r="L759" s="6" t="n"/>
      <c r="M759" s="5">
        <f>IF(H759="SIM",1,0)</f>
        <v/>
      </c>
      <c r="N759" s="5">
        <f>IF(AND(H759="SIM",K759="validado",I759&lt;&gt;""),1,0)</f>
        <v/>
      </c>
    </row>
    <row r="760">
      <c r="A760" s="5" t="inlineStr">
        <is>
          <t>ANCINE</t>
        </is>
      </c>
      <c r="B760" s="5" t="inlineStr">
        <is>
          <t>PS.GER.II</t>
        </is>
      </c>
      <c r="C760" s="5" t="inlineStr">
        <is>
          <t>PS</t>
        </is>
      </c>
      <c r="D760" s="5" t="n">
        <v>2</v>
      </c>
      <c r="E760" s="5" t="inlineStr">
        <is>
          <t>Gerenciado</t>
        </is>
      </c>
      <c r="F760" s="5" t="inlineStr">
        <is>
          <t>II</t>
        </is>
      </c>
      <c r="G760" s="5" t="inlineStr">
        <is>
          <t>Os relatórios da Ouvidoria e os relatórios do portal consumidor.gov são utilizados para subsidiar as decisões regulatórias;</t>
        </is>
      </c>
      <c r="H760" s="6" t="n"/>
      <c r="I760" s="6" t="n"/>
      <c r="J760" s="6" t="n"/>
      <c r="K760" s="6" t="inlineStr">
        <is>
          <t>pendente</t>
        </is>
      </c>
      <c r="L760" s="6" t="n"/>
      <c r="M760" s="5">
        <f>IF(H760="SIM",1,0)</f>
        <v/>
      </c>
      <c r="N760" s="5">
        <f>IF(AND(H760="SIM",K760="validado",I760&lt;&gt;""),1,0)</f>
        <v/>
      </c>
    </row>
    <row r="761">
      <c r="A761" s="5" t="inlineStr">
        <is>
          <t>ANCINE</t>
        </is>
      </c>
      <c r="B761" s="5" t="inlineStr">
        <is>
          <t>PS.MC.III</t>
        </is>
      </c>
      <c r="C761" s="5" t="inlineStr">
        <is>
          <t>PS</t>
        </is>
      </c>
      <c r="D761" s="5" t="n">
        <v>2</v>
      </c>
      <c r="E761" s="5" t="inlineStr">
        <is>
          <t>Melhoria Contínua</t>
        </is>
      </c>
      <c r="F761" s="5" t="inlineStr">
        <is>
          <t>III</t>
        </is>
      </c>
      <c r="G761" s="5" t="inlineStr">
        <is>
          <t>Todos os instrumentos, processos e relatórios contendo as contribuições analisadas são divulgados no portal do órgão e/ou plataforma Participa Mais Brasil;</t>
        </is>
      </c>
      <c r="H761" s="6" t="n"/>
      <c r="I761" s="6" t="n"/>
      <c r="J761" s="6" t="n"/>
      <c r="K761" s="6" t="inlineStr">
        <is>
          <t>pendente</t>
        </is>
      </c>
      <c r="L761" s="6" t="n"/>
      <c r="M761" s="5">
        <f>IF(H761="SIM",1,0)</f>
        <v/>
      </c>
      <c r="N761" s="5">
        <f>IF(AND(H761="SIM",K761="validado",I761&lt;&gt;""),1,0)</f>
        <v/>
      </c>
    </row>
    <row r="762">
      <c r="A762" s="5" t="inlineStr">
        <is>
          <t>ANCINE</t>
        </is>
      </c>
      <c r="B762" s="5" t="inlineStr">
        <is>
          <t>PS.GER.III</t>
        </is>
      </c>
      <c r="C762" s="5" t="inlineStr">
        <is>
          <t>PS</t>
        </is>
      </c>
      <c r="D762" s="5" t="n">
        <v>2</v>
      </c>
      <c r="E762" s="5" t="inlineStr">
        <is>
          <t>Gerenciado</t>
        </is>
      </c>
      <c r="F762" s="5" t="inlineStr">
        <is>
          <t>III</t>
        </is>
      </c>
      <c r="G762" s="5" t="inlineStr">
        <is>
          <t>Todas as informações relativas aos processos em andamento são divulgadas no portal do órgão e/ou plataforma Participa Mais Brasil;</t>
        </is>
      </c>
      <c r="H762" s="6" t="n"/>
      <c r="I762" s="6" t="n"/>
      <c r="J762" s="6" t="n"/>
      <c r="K762" s="6" t="inlineStr">
        <is>
          <t>pendente</t>
        </is>
      </c>
      <c r="L762" s="6" t="n"/>
      <c r="M762" s="5">
        <f>IF(H762="SIM",1,0)</f>
        <v/>
      </c>
      <c r="N762" s="5">
        <f>IF(AND(H762="SIM",K762="validado",I762&lt;&gt;""),1,0)</f>
        <v/>
      </c>
    </row>
    <row r="763">
      <c r="A763" s="5" t="inlineStr">
        <is>
          <t>ANCINE</t>
        </is>
      </c>
      <c r="B763" s="5" t="inlineStr">
        <is>
          <t>PS.MC.IV</t>
        </is>
      </c>
      <c r="C763" s="5" t="inlineStr">
        <is>
          <t>PS</t>
        </is>
      </c>
      <c r="D763" s="5" t="n">
        <v>2</v>
      </c>
      <c r="E763" s="5" t="inlineStr">
        <is>
          <t>Melhoria Contínua</t>
        </is>
      </c>
      <c r="F763" s="5" t="inlineStr">
        <is>
          <t>IV</t>
        </is>
      </c>
      <c r="G763" s="5" t="inlineStr">
        <is>
          <t>A efetividade do evento de participação social é mensurada, conforme metodologia instituída.</t>
        </is>
      </c>
      <c r="H763" s="6" t="n"/>
      <c r="I763" s="6" t="n"/>
      <c r="J763" s="6" t="n"/>
      <c r="K763" s="6" t="inlineStr">
        <is>
          <t>pendente</t>
        </is>
      </c>
      <c r="L763" s="6" t="n"/>
      <c r="M763" s="5">
        <f>IF(H763="SIM",1,0)</f>
        <v/>
      </c>
      <c r="N763" s="5">
        <f>IF(AND(H763="SIM",K763="validado",I763&lt;&gt;""),1,0)</f>
        <v/>
      </c>
    </row>
    <row r="764">
      <c r="A764" s="5" t="inlineStr">
        <is>
          <t>ANCINE</t>
        </is>
      </c>
      <c r="B764" s="5" t="inlineStr">
        <is>
          <t>PS.GER.IV</t>
        </is>
      </c>
      <c r="C764" s="5" t="inlineStr">
        <is>
          <t>PS</t>
        </is>
      </c>
      <c r="D764" s="5" t="n">
        <v>2</v>
      </c>
      <c r="E764" s="5" t="inlineStr">
        <is>
          <t>Gerenciado</t>
        </is>
      </c>
      <c r="F764" s="5" t="inlineStr">
        <is>
          <t>IV</t>
        </is>
      </c>
      <c r="G764" s="5" t="inlineStr">
        <is>
          <t>A efetividade do evento de participação social é avaliada de forma intuitiva.</t>
        </is>
      </c>
      <c r="H764" s="6" t="n"/>
      <c r="I764" s="6" t="n"/>
      <c r="J764" s="6" t="n"/>
      <c r="K764" s="6" t="inlineStr">
        <is>
          <t>pendente</t>
        </is>
      </c>
      <c r="L764" s="6" t="n"/>
      <c r="M764" s="5">
        <f>IF(H764="SIM",1,0)</f>
        <v/>
      </c>
      <c r="N764" s="5">
        <f>IF(AND(H764="SIM",K764="validado",I764&lt;&gt;""),1,0)</f>
        <v/>
      </c>
    </row>
    <row r="765">
      <c r="A765" s="5" t="inlineStr">
        <is>
          <t>ANCINE</t>
        </is>
      </c>
      <c r="B765" s="5" t="inlineStr">
        <is>
          <t>EST.MC.I</t>
        </is>
      </c>
      <c r="C765" s="5" t="inlineStr">
        <is>
          <t>EST</t>
        </is>
      </c>
      <c r="D765" s="5" t="n">
        <v>3</v>
      </c>
      <c r="E765" s="5" t="inlineStr">
        <is>
          <t>Melhoria Contínua</t>
        </is>
      </c>
      <c r="F765" s="5" t="inlineStr">
        <is>
          <t>I</t>
        </is>
      </c>
      <c r="G765" s="5" t="inlineStr">
        <is>
          <t>As alterações do estoque regulatório da instituição são priorizadas por meio de uma agenda regulatória;</t>
        </is>
      </c>
      <c r="H765" s="6" t="n"/>
      <c r="I765" s="6" t="n"/>
      <c r="J765" s="6" t="n"/>
      <c r="K765" s="6" t="inlineStr">
        <is>
          <t>pendente</t>
        </is>
      </c>
      <c r="L765" s="6" t="n"/>
      <c r="M765" s="5">
        <f>IF(H765="SIM",1,0)</f>
        <v/>
      </c>
      <c r="N765" s="5">
        <f>IF(AND(H765="SIM",K765="validado",I765&lt;&gt;""),1,0)</f>
        <v/>
      </c>
    </row>
    <row r="766">
      <c r="A766" s="5" t="inlineStr">
        <is>
          <t>ANCINE</t>
        </is>
      </c>
      <c r="B766" s="5" t="inlineStr">
        <is>
          <t>EST.GER.I</t>
        </is>
      </c>
      <c r="C766" s="5" t="inlineStr">
        <is>
          <t>EST</t>
        </is>
      </c>
      <c r="D766" s="5" t="n">
        <v>3</v>
      </c>
      <c r="E766" s="5" t="inlineStr">
        <is>
          <t>Gerenciado</t>
        </is>
      </c>
      <c r="F766" s="5" t="inlineStr">
        <is>
          <t>I</t>
        </is>
      </c>
      <c r="G766" s="5" t="inlineStr">
        <is>
          <t>Normas publicadas e disponíveis de maneira sistematizada para consulta pública no portal gov.br;</t>
        </is>
      </c>
      <c r="H766" s="6" t="n"/>
      <c r="I766" s="6" t="n"/>
      <c r="J766" s="6" t="n"/>
      <c r="K766" s="6" t="inlineStr">
        <is>
          <t>pendente</t>
        </is>
      </c>
      <c r="L766" s="6" t="n"/>
      <c r="M766" s="5">
        <f>IF(H766="SIM",1,0)</f>
        <v/>
      </c>
      <c r="N766" s="5">
        <f>IF(AND(H766="SIM",K766="validado",I766&lt;&gt;""),1,0)</f>
        <v/>
      </c>
    </row>
    <row r="767">
      <c r="A767" s="5" t="inlineStr">
        <is>
          <t>ANCINE</t>
        </is>
      </c>
      <c r="B767" s="5" t="inlineStr">
        <is>
          <t>EST.INI.I</t>
        </is>
      </c>
      <c r="C767" s="5" t="inlineStr">
        <is>
          <t>EST</t>
        </is>
      </c>
      <c r="D767" s="5" t="n">
        <v>3</v>
      </c>
      <c r="E767" s="5" t="inlineStr">
        <is>
          <t>Inicial</t>
        </is>
      </c>
      <c r="F767" s="5" t="inlineStr">
        <is>
          <t>I</t>
        </is>
      </c>
      <c r="G767" s="5" t="inlineStr">
        <is>
          <t>Normas publicadas e disponíveis de maneira sistematizada para consulta pública na internet;</t>
        </is>
      </c>
      <c r="H767" s="6" t="n"/>
      <c r="I767" s="6" t="n"/>
      <c r="J767" s="6" t="n"/>
      <c r="K767" s="6" t="inlineStr">
        <is>
          <t>pendente</t>
        </is>
      </c>
      <c r="L767" s="6" t="n"/>
      <c r="M767" s="5">
        <f>IF(H767="SIM",1,0)</f>
        <v/>
      </c>
      <c r="N767" s="5">
        <f>IF(AND(H767="SIM",K767="validado",I767&lt;&gt;""),1,0)</f>
        <v/>
      </c>
    </row>
    <row r="768">
      <c r="A768" s="5" t="inlineStr">
        <is>
          <t>ANCINE</t>
        </is>
      </c>
      <c r="B768" s="5" t="inlineStr">
        <is>
          <t>EST.MC.II</t>
        </is>
      </c>
      <c r="C768" s="5" t="inlineStr">
        <is>
          <t>EST</t>
        </is>
      </c>
      <c r="D768" s="5" t="n">
        <v>3</v>
      </c>
      <c r="E768" s="5" t="inlineStr">
        <is>
          <t>Melhoria Contínua</t>
        </is>
      </c>
      <c r="F768" s="5" t="inlineStr">
        <is>
          <t>II</t>
        </is>
      </c>
      <c r="G768" s="5" t="inlineStr">
        <is>
          <t>Todas as novas normas passam pela análise de consolidação e compatibilização de normas vigentes.</t>
        </is>
      </c>
      <c r="H768" s="6" t="n"/>
      <c r="I768" s="6" t="n"/>
      <c r="J768" s="6" t="n"/>
      <c r="K768" s="6" t="inlineStr">
        <is>
          <t>pendente</t>
        </is>
      </c>
      <c r="L768" s="6" t="n"/>
      <c r="M768" s="5">
        <f>IF(H768="SIM",1,0)</f>
        <v/>
      </c>
      <c r="N768" s="5">
        <f>IF(AND(H768="SIM",K768="validado",I768&lt;&gt;""),1,0)</f>
        <v/>
      </c>
    </row>
    <row r="769">
      <c r="A769" s="5" t="inlineStr">
        <is>
          <t>ANCINE</t>
        </is>
      </c>
      <c r="B769" s="5" t="inlineStr">
        <is>
          <t>EST.GER.II</t>
        </is>
      </c>
      <c r="C769" s="5" t="inlineStr">
        <is>
          <t>EST</t>
        </is>
      </c>
      <c r="D769" s="5" t="n">
        <v>3</v>
      </c>
      <c r="E769" s="5" t="inlineStr">
        <is>
          <t>Gerenciado</t>
        </is>
      </c>
      <c r="F769" s="5" t="inlineStr">
        <is>
          <t>II</t>
        </is>
      </c>
      <c r="G769" s="5" t="inlineStr">
        <is>
          <t>Foi realizado levantamento quantitativo de todas as normas do órgão, bem como análise qualitativa, indexação e classificação por tema;</t>
        </is>
      </c>
      <c r="H769" s="6" t="n"/>
      <c r="I769" s="6" t="n"/>
      <c r="J769" s="6" t="n"/>
      <c r="K769" s="6" t="inlineStr">
        <is>
          <t>pendente</t>
        </is>
      </c>
      <c r="L769" s="6" t="n"/>
      <c r="M769" s="5">
        <f>IF(H769="SIM",1,0)</f>
        <v/>
      </c>
      <c r="N769" s="5">
        <f>IF(AND(H769="SIM",K769="validado",I769&lt;&gt;""),1,0)</f>
        <v/>
      </c>
    </row>
    <row r="770">
      <c r="A770" s="5" t="inlineStr">
        <is>
          <t>ANCINE</t>
        </is>
      </c>
      <c r="B770" s="5" t="inlineStr">
        <is>
          <t>EST.INI.II</t>
        </is>
      </c>
      <c r="C770" s="5" t="inlineStr">
        <is>
          <t>EST</t>
        </is>
      </c>
      <c r="D770" s="5" t="n">
        <v>3</v>
      </c>
      <c r="E770" s="5" t="inlineStr">
        <is>
          <t>Inicial</t>
        </is>
      </c>
      <c r="F770" s="5" t="inlineStr">
        <is>
          <t>II</t>
        </is>
      </c>
      <c r="G770" s="5" t="inlineStr">
        <is>
          <t>Foi realizado levantamento quantitativo de todas as normas do órgão.</t>
        </is>
      </c>
      <c r="H770" s="6" t="n"/>
      <c r="I770" s="6" t="n"/>
      <c r="J770" s="6" t="n"/>
      <c r="K770" s="6" t="inlineStr">
        <is>
          <t>pendente</t>
        </is>
      </c>
      <c r="L770" s="6" t="n"/>
      <c r="M770" s="5">
        <f>IF(H770="SIM",1,0)</f>
        <v/>
      </c>
      <c r="N770" s="5">
        <f>IF(AND(H770="SIM",K770="validado",I770&lt;&gt;""),1,0)</f>
        <v/>
      </c>
    </row>
    <row r="771">
      <c r="A771" s="5" t="inlineStr">
        <is>
          <t>ANCINE</t>
        </is>
      </c>
      <c r="B771" s="5" t="inlineStr">
        <is>
          <t>EST.GER.III</t>
        </is>
      </c>
      <c r="C771" s="5" t="inlineStr">
        <is>
          <t>EST</t>
        </is>
      </c>
      <c r="D771" s="5" t="n">
        <v>3</v>
      </c>
      <c r="E771" s="5" t="inlineStr">
        <is>
          <t>Gerenciado</t>
        </is>
      </c>
      <c r="F771" s="5" t="inlineStr">
        <is>
          <t>III</t>
        </is>
      </c>
      <c r="G771" s="5" t="inlineStr">
        <is>
          <t>Para toda a nova norma de alto impacto/alta complexidade foi estimado o fardo regulatório; e</t>
        </is>
      </c>
      <c r="H771" s="6" t="n"/>
      <c r="I771" s="6" t="n"/>
      <c r="J771" s="6" t="n"/>
      <c r="K771" s="6" t="inlineStr">
        <is>
          <t>pendente</t>
        </is>
      </c>
      <c r="L771" s="6" t="n"/>
      <c r="M771" s="5">
        <f>IF(H771="SIM",1,0)</f>
        <v/>
      </c>
      <c r="N771" s="5">
        <f>IF(AND(H771="SIM",K771="validado",I771&lt;&gt;""),1,0)</f>
        <v/>
      </c>
    </row>
    <row r="772">
      <c r="A772" s="5" t="inlineStr">
        <is>
          <t>ANCINE</t>
        </is>
      </c>
      <c r="B772" s="5" t="inlineStr">
        <is>
          <t>EST.GER.IV</t>
        </is>
      </c>
      <c r="C772" s="5" t="inlineStr">
        <is>
          <t>EST</t>
        </is>
      </c>
      <c r="D772" s="5" t="n">
        <v>3</v>
      </c>
      <c r="E772" s="5" t="inlineStr">
        <is>
          <t>Gerenciado</t>
        </is>
      </c>
      <c r="F772" s="5" t="inlineStr">
        <is>
          <t>IV</t>
        </is>
      </c>
      <c r="G772" s="5" t="inlineStr">
        <is>
          <t>Existe manutenção da consolidação normativa, conforme art. 19 do Decreto nº 10.139, de 28 de novembro de 2019.</t>
        </is>
      </c>
      <c r="H772" s="6" t="n"/>
      <c r="I772" s="6" t="n"/>
      <c r="J772" s="6" t="n"/>
      <c r="K772" s="6" t="inlineStr">
        <is>
          <t>pendente</t>
        </is>
      </c>
      <c r="L772" s="6" t="n"/>
      <c r="M772" s="5">
        <f>IF(H772="SIM",1,0)</f>
        <v/>
      </c>
      <c r="N772" s="5">
        <f>IF(AND(H772="SIM",K772="validado",I772&lt;&gt;""),1,0)</f>
        <v/>
      </c>
    </row>
    <row r="773">
      <c r="A773" s="5" t="inlineStr">
        <is>
          <t>ANCINE</t>
        </is>
      </c>
      <c r="B773" s="5" t="inlineStr">
        <is>
          <t>AGE.MC.I</t>
        </is>
      </c>
      <c r="C773" s="5" t="inlineStr">
        <is>
          <t>AGE</t>
        </is>
      </c>
      <c r="D773" s="5" t="n">
        <v>4</v>
      </c>
      <c r="E773" s="5" t="inlineStr">
        <is>
          <t>Melhoria Contínua</t>
        </is>
      </c>
      <c r="F773" s="5" t="inlineStr">
        <is>
          <t>I</t>
        </is>
      </c>
      <c r="G773" s="5" t="inlineStr">
        <is>
          <t>A elaboração da agenda regulatória tem ampla participação social, a qual é analisada, respondida e divulgada;</t>
        </is>
      </c>
      <c r="H773" s="6" t="n"/>
      <c r="I773" s="6" t="n"/>
      <c r="J773" s="6" t="n"/>
      <c r="K773" s="6" t="inlineStr">
        <is>
          <t>pendente</t>
        </is>
      </c>
      <c r="L773" s="6" t="n"/>
      <c r="M773" s="5">
        <f>IF(H773="SIM",1,0)</f>
        <v/>
      </c>
      <c r="N773" s="5">
        <f>IF(AND(H773="SIM",K773="validado",I773&lt;&gt;""),1,0)</f>
        <v/>
      </c>
    </row>
    <row r="774">
      <c r="A774" s="5" t="inlineStr">
        <is>
          <t>ANCINE</t>
        </is>
      </c>
      <c r="B774" s="5" t="inlineStr">
        <is>
          <t>AGE.GER.I</t>
        </is>
      </c>
      <c r="C774" s="5" t="inlineStr">
        <is>
          <t>AGE</t>
        </is>
      </c>
      <c r="D774" s="5" t="n">
        <v>4</v>
      </c>
      <c r="E774" s="5" t="inlineStr">
        <is>
          <t>Gerenciado</t>
        </is>
      </c>
      <c r="F774" s="5" t="inlineStr">
        <is>
          <t>I</t>
        </is>
      </c>
      <c r="G774" s="5" t="inlineStr">
        <is>
          <t>A elaboração da agenda regulatória tem ampla participação social, a qual é analisada, porém não respondida e divulgada;</t>
        </is>
      </c>
      <c r="H774" s="6" t="n"/>
      <c r="I774" s="6" t="n"/>
      <c r="J774" s="6" t="n"/>
      <c r="K774" s="6" t="inlineStr">
        <is>
          <t>pendente</t>
        </is>
      </c>
      <c r="L774" s="6" t="n"/>
      <c r="M774" s="5">
        <f>IF(H774="SIM",1,0)</f>
        <v/>
      </c>
      <c r="N774" s="5">
        <f>IF(AND(H774="SIM",K774="validado",I774&lt;&gt;""),1,0)</f>
        <v/>
      </c>
    </row>
    <row r="775">
      <c r="A775" s="5" t="inlineStr">
        <is>
          <t>ANCINE</t>
        </is>
      </c>
      <c r="B775" s="5" t="inlineStr">
        <is>
          <t>AGE.INI.I</t>
        </is>
      </c>
      <c r="C775" s="5" t="inlineStr">
        <is>
          <t>AGE</t>
        </is>
      </c>
      <c r="D775" s="5" t="n">
        <v>4</v>
      </c>
      <c r="E775" s="5" t="inlineStr">
        <is>
          <t>Inicial</t>
        </is>
      </c>
      <c r="F775" s="5" t="inlineStr">
        <is>
          <t>I</t>
        </is>
      </c>
      <c r="G775" s="5" t="inlineStr">
        <is>
          <t>Os temas da agenda regulatória são elencados e priorizados pelos gestores da agência;</t>
        </is>
      </c>
      <c r="H775" s="6" t="n"/>
      <c r="I775" s="6" t="n"/>
      <c r="J775" s="6" t="n"/>
      <c r="K775" s="6" t="inlineStr">
        <is>
          <t>pendente</t>
        </is>
      </c>
      <c r="L775" s="6" t="n"/>
      <c r="M775" s="5">
        <f>IF(H775="SIM",1,0)</f>
        <v/>
      </c>
      <c r="N775" s="5">
        <f>IF(AND(H775="SIM",K775="validado",I775&lt;&gt;""),1,0)</f>
        <v/>
      </c>
    </row>
    <row r="776">
      <c r="A776" s="5" t="inlineStr">
        <is>
          <t>ANCINE</t>
        </is>
      </c>
      <c r="B776" s="5" t="inlineStr">
        <is>
          <t>AGE.MC.II</t>
        </is>
      </c>
      <c r="C776" s="5" t="inlineStr">
        <is>
          <t>AGE</t>
        </is>
      </c>
      <c r="D776" s="5" t="n">
        <v>4</v>
      </c>
      <c r="E776" s="5" t="inlineStr">
        <is>
          <t>Melhoria Contínua</t>
        </is>
      </c>
      <c r="F776" s="5" t="inlineStr">
        <is>
          <t>II</t>
        </is>
      </c>
      <c r="G776" s="5" t="inlineStr">
        <is>
          <t>Os projetos da Agenda Regulatória estão aderentes ao planejamento estratégico vigente e estão correlacionados ao Plano de Gestão Anual;</t>
        </is>
      </c>
      <c r="H776" s="6" t="n"/>
      <c r="I776" s="6" t="n"/>
      <c r="J776" s="6" t="n"/>
      <c r="K776" s="6" t="inlineStr">
        <is>
          <t>pendente</t>
        </is>
      </c>
      <c r="L776" s="6" t="n"/>
      <c r="M776" s="5">
        <f>IF(H776="SIM",1,0)</f>
        <v/>
      </c>
      <c r="N776" s="5">
        <f>IF(AND(H776="SIM",K776="validado",I776&lt;&gt;""),1,0)</f>
        <v/>
      </c>
    </row>
    <row r="777">
      <c r="A777" s="5" t="inlineStr">
        <is>
          <t>ANCINE</t>
        </is>
      </c>
      <c r="B777" s="5" t="inlineStr">
        <is>
          <t>AGE.GER.II</t>
        </is>
      </c>
      <c r="C777" s="5" t="inlineStr">
        <is>
          <t>AGE</t>
        </is>
      </c>
      <c r="D777" s="5" t="n">
        <v>4</v>
      </c>
      <c r="E777" s="5" t="inlineStr">
        <is>
          <t>Gerenciado</t>
        </is>
      </c>
      <c r="F777" s="5" t="inlineStr">
        <is>
          <t>II</t>
        </is>
      </c>
      <c r="G777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777" s="6" t="n"/>
      <c r="I777" s="6" t="n"/>
      <c r="J777" s="6" t="n"/>
      <c r="K777" s="6" t="inlineStr">
        <is>
          <t>pendente</t>
        </is>
      </c>
      <c r="L777" s="6" t="n"/>
      <c r="M777" s="5">
        <f>IF(H777="SIM",1,0)</f>
        <v/>
      </c>
      <c r="N777" s="5">
        <f>IF(AND(H777="SIM",K777="validado",I777&lt;&gt;""),1,0)</f>
        <v/>
      </c>
    </row>
    <row r="778">
      <c r="A778" s="5" t="inlineStr">
        <is>
          <t>ANCINE</t>
        </is>
      </c>
      <c r="B778" s="5" t="inlineStr">
        <is>
          <t>AGE.INI.II</t>
        </is>
      </c>
      <c r="C778" s="5" t="inlineStr">
        <is>
          <t>AGE</t>
        </is>
      </c>
      <c r="D778" s="5" t="n">
        <v>4</v>
      </c>
      <c r="E778" s="5" t="inlineStr">
        <is>
          <t>Inicial</t>
        </is>
      </c>
      <c r="F778" s="5" t="inlineStr">
        <is>
          <t>II</t>
        </is>
      </c>
      <c r="G778" s="5" t="inlineStr">
        <is>
          <t>É avaliada a aderência da proposta de Agenda às políticas públicas.</t>
        </is>
      </c>
      <c r="H778" s="6" t="n"/>
      <c r="I778" s="6" t="n"/>
      <c r="J778" s="6" t="n"/>
      <c r="K778" s="6" t="inlineStr">
        <is>
          <t>pendente</t>
        </is>
      </c>
      <c r="L778" s="6" t="n"/>
      <c r="M778" s="5">
        <f>IF(H778="SIM",1,0)</f>
        <v/>
      </c>
      <c r="N778" s="5">
        <f>IF(AND(H778="SIM",K778="validado",I778&lt;&gt;""),1,0)</f>
        <v/>
      </c>
    </row>
    <row r="779">
      <c r="A779" s="5" t="inlineStr">
        <is>
          <t>ANCINE</t>
        </is>
      </c>
      <c r="B779" s="5" t="inlineStr">
        <is>
          <t>AGE.MC.III</t>
        </is>
      </c>
      <c r="C779" s="5" t="inlineStr">
        <is>
          <t>AGE</t>
        </is>
      </c>
      <c r="D779" s="5" t="n">
        <v>4</v>
      </c>
      <c r="E779" s="5" t="inlineStr">
        <is>
          <t>Melhoria Contínua</t>
        </is>
      </c>
      <c r="F779" s="5" t="inlineStr">
        <is>
          <t>III</t>
        </is>
      </c>
      <c r="G779" s="5" t="inlineStr">
        <is>
          <t>Cumprimento de, no mínimo, 80% da Agenda Regulatória;</t>
        </is>
      </c>
      <c r="H779" s="6" t="n"/>
      <c r="I779" s="6" t="n"/>
      <c r="J779" s="6" t="n"/>
      <c r="K779" s="6" t="inlineStr">
        <is>
          <t>pendente</t>
        </is>
      </c>
      <c r="L779" s="6" t="n"/>
      <c r="M779" s="5">
        <f>IF(H779="SIM",1,0)</f>
        <v/>
      </c>
      <c r="N779" s="5">
        <f>IF(AND(H779="SIM",K779="validado",I779&lt;&gt;""),1,0)</f>
        <v/>
      </c>
    </row>
    <row r="780">
      <c r="A780" s="5" t="inlineStr">
        <is>
          <t>ANCINE</t>
        </is>
      </c>
      <c r="B780" s="5" t="inlineStr">
        <is>
          <t>AGE.GER.III</t>
        </is>
      </c>
      <c r="C780" s="5" t="inlineStr">
        <is>
          <t>AGE</t>
        </is>
      </c>
      <c r="D780" s="5" t="n">
        <v>4</v>
      </c>
      <c r="E780" s="5" t="inlineStr">
        <is>
          <t>Gerenciado</t>
        </is>
      </c>
      <c r="F780" s="5" t="inlineStr">
        <is>
          <t>III</t>
        </is>
      </c>
      <c r="G780" s="5" t="inlineStr">
        <is>
          <t>Cumprimento de 50% a 79% da Agenda Regulatória;</t>
        </is>
      </c>
      <c r="H780" s="6" t="n"/>
      <c r="I780" s="6" t="n"/>
      <c r="J780" s="6" t="n"/>
      <c r="K780" s="6" t="inlineStr">
        <is>
          <t>pendente</t>
        </is>
      </c>
      <c r="L780" s="6" t="n"/>
      <c r="M780" s="5">
        <f>IF(H780="SIM",1,0)</f>
        <v/>
      </c>
      <c r="N780" s="5">
        <f>IF(AND(H780="SIM",K780="validado",I780&lt;&gt;""),1,0)</f>
        <v/>
      </c>
    </row>
    <row r="781">
      <c r="A781" s="5" t="inlineStr">
        <is>
          <t>ANCINE</t>
        </is>
      </c>
      <c r="B781" s="5" t="inlineStr">
        <is>
          <t>AGE.MC.IV</t>
        </is>
      </c>
      <c r="C781" s="5" t="inlineStr">
        <is>
          <t>AGE</t>
        </is>
      </c>
      <c r="D781" s="5" t="n">
        <v>4</v>
      </c>
      <c r="E781" s="5" t="inlineStr">
        <is>
          <t>Melhoria Contínua</t>
        </is>
      </c>
      <c r="F781" s="5" t="inlineStr">
        <is>
          <t>IV</t>
        </is>
      </c>
      <c r="G781" s="5" t="inlineStr">
        <is>
          <t>A execução da Agenda Regulatória é periodicamente monitorada e divulgada.</t>
        </is>
      </c>
      <c r="H781" s="6" t="n"/>
      <c r="I781" s="6" t="n"/>
      <c r="J781" s="6" t="n"/>
      <c r="K781" s="6" t="inlineStr">
        <is>
          <t>pendente</t>
        </is>
      </c>
      <c r="L781" s="6" t="n"/>
      <c r="M781" s="5">
        <f>IF(H781="SIM",1,0)</f>
        <v/>
      </c>
      <c r="N781" s="5">
        <f>IF(AND(H781="SIM",K781="validado",I781&lt;&gt;""),1,0)</f>
        <v/>
      </c>
    </row>
    <row r="782">
      <c r="A782" s="5" t="inlineStr">
        <is>
          <t>ANCINE</t>
        </is>
      </c>
      <c r="B782" s="5" t="inlineStr">
        <is>
          <t>AGE.GER.IV</t>
        </is>
      </c>
      <c r="C782" s="5" t="inlineStr">
        <is>
          <t>AGE</t>
        </is>
      </c>
      <c r="D782" s="5" t="n">
        <v>4</v>
      </c>
      <c r="E782" s="5" t="inlineStr">
        <is>
          <t>Gerenciado</t>
        </is>
      </c>
      <c r="F782" s="5" t="inlineStr">
        <is>
          <t>IV</t>
        </is>
      </c>
      <c r="G782" s="5" t="inlineStr">
        <is>
          <t>A execução da Agenda Regulatória é periodicamente monitorada.</t>
        </is>
      </c>
      <c r="H782" s="6" t="n"/>
      <c r="I782" s="6" t="n"/>
      <c r="J782" s="6" t="n"/>
      <c r="K782" s="6" t="inlineStr">
        <is>
          <t>pendente</t>
        </is>
      </c>
      <c r="L782" s="6" t="n"/>
      <c r="M782" s="5">
        <f>IF(H782="SIM",1,0)</f>
        <v/>
      </c>
      <c r="N782" s="5">
        <f>IF(AND(H782="SIM",K782="validado",I782&lt;&gt;""),1,0)</f>
        <v/>
      </c>
    </row>
    <row r="783">
      <c r="A783" s="5" t="inlineStr">
        <is>
          <t>ANCINE</t>
        </is>
      </c>
      <c r="B783" s="5" t="inlineStr">
        <is>
          <t>PRO.MC.I</t>
        </is>
      </c>
      <c r="C783" s="5" t="inlineStr">
        <is>
          <t>PRO</t>
        </is>
      </c>
      <c r="D783" s="5" t="n">
        <v>5</v>
      </c>
      <c r="E783" s="5" t="inlineStr">
        <is>
          <t>Melhoria Contínua</t>
        </is>
      </c>
      <c r="F783" s="5" t="inlineStr">
        <is>
          <t>I</t>
        </is>
      </c>
      <c r="G783" s="5" t="inlineStr">
        <is>
          <t>Indicadores de processo normativo estabelecidos e monitorados;</t>
        </is>
      </c>
      <c r="H783" s="6" t="n"/>
      <c r="I783" s="6" t="n"/>
      <c r="J783" s="6" t="n"/>
      <c r="K783" s="6" t="inlineStr">
        <is>
          <t>pendente</t>
        </is>
      </c>
      <c r="L783" s="6" t="n"/>
      <c r="M783" s="5">
        <f>IF(H783="SIM",1,0)</f>
        <v/>
      </c>
      <c r="N783" s="5">
        <f>IF(AND(H783="SIM",K783="validado",I783&lt;&gt;""),1,0)</f>
        <v/>
      </c>
    </row>
    <row r="784">
      <c r="A784" s="5" t="inlineStr">
        <is>
          <t>ANCINE</t>
        </is>
      </c>
      <c r="B784" s="5" t="inlineStr">
        <is>
          <t>PRO.GER.I</t>
        </is>
      </c>
      <c r="C784" s="5" t="inlineStr">
        <is>
          <t>PRO</t>
        </is>
      </c>
      <c r="D784" s="5" t="n">
        <v>5</v>
      </c>
      <c r="E784" s="5" t="inlineStr">
        <is>
          <t>Gerenciado</t>
        </is>
      </c>
      <c r="F784" s="5" t="inlineStr">
        <is>
          <t>I</t>
        </is>
      </c>
      <c r="G784" s="5" t="inlineStr">
        <is>
          <t>as intervenções de participação social estão claramente inseridas no processo.</t>
        </is>
      </c>
      <c r="H784" s="6" t="n"/>
      <c r="I784" s="6" t="n"/>
      <c r="J784" s="6" t="n"/>
      <c r="K784" s="6" t="inlineStr">
        <is>
          <t>pendente</t>
        </is>
      </c>
      <c r="L784" s="6" t="n"/>
      <c r="M784" s="5">
        <f>IF(H784="SIM",1,0)</f>
        <v/>
      </c>
      <c r="N784" s="5">
        <f>IF(AND(H784="SIM",K784="validado",I784&lt;&gt;""),1,0)</f>
        <v/>
      </c>
    </row>
    <row r="785">
      <c r="A785" s="5" t="inlineStr">
        <is>
          <t>ANCINE</t>
        </is>
      </c>
      <c r="B785" s="5" t="inlineStr">
        <is>
          <t>PRO.INI.I</t>
        </is>
      </c>
      <c r="C785" s="5" t="inlineStr">
        <is>
          <t>PRO</t>
        </is>
      </c>
      <c r="D785" s="5" t="n">
        <v>5</v>
      </c>
      <c r="E785" s="5" t="inlineStr">
        <is>
          <t>Inicial</t>
        </is>
      </c>
      <c r="F785" s="5" t="inlineStr">
        <is>
          <t>I</t>
        </is>
      </c>
      <c r="G785" s="5" t="inlineStr">
        <is>
          <t>O fluxo do processo normativo é formalizado de forma bem definida e clara;</t>
        </is>
      </c>
      <c r="H785" s="6" t="n"/>
      <c r="I785" s="6" t="n"/>
      <c r="J785" s="6" t="n"/>
      <c r="K785" s="6" t="inlineStr">
        <is>
          <t>pendente</t>
        </is>
      </c>
      <c r="L785" s="6" t="n"/>
      <c r="M785" s="5">
        <f>IF(H785="SIM",1,0)</f>
        <v/>
      </c>
      <c r="N785" s="5">
        <f>IF(AND(H785="SIM",K785="validado",I785&lt;&gt;""),1,0)</f>
        <v/>
      </c>
    </row>
    <row r="786">
      <c r="A786" s="5" t="inlineStr">
        <is>
          <t>ANCINE</t>
        </is>
      </c>
      <c r="B786" s="5" t="inlineStr">
        <is>
          <t>PRO.MC.II</t>
        </is>
      </c>
      <c r="C786" s="5" t="inlineStr">
        <is>
          <t>PRO</t>
        </is>
      </c>
      <c r="D786" s="5" t="n">
        <v>5</v>
      </c>
      <c r="E786" s="5" t="inlineStr">
        <is>
          <t>Melhoria Contínua</t>
        </is>
      </c>
      <c r="F786" s="5" t="inlineStr">
        <is>
          <t>II</t>
        </is>
      </c>
      <c r="G786" s="5" t="inlineStr">
        <is>
          <t>Há processo contínuo de avaliação e melhoria do processo normativo, utilizando o resultado dos indicadores.</t>
        </is>
      </c>
      <c r="H786" s="6" t="n"/>
      <c r="I786" s="6" t="n"/>
      <c r="J786" s="6" t="n"/>
      <c r="K786" s="6" t="inlineStr">
        <is>
          <t>pendente</t>
        </is>
      </c>
      <c r="L786" s="6" t="n"/>
      <c r="M786" s="5">
        <f>IF(H786="SIM",1,0)</f>
        <v/>
      </c>
      <c r="N786" s="5">
        <f>IF(AND(H786="SIM",K786="validado",I786&lt;&gt;""),1,0)</f>
        <v/>
      </c>
    </row>
    <row r="787">
      <c r="A787" s="5" t="inlineStr">
        <is>
          <t>ANCINE</t>
        </is>
      </c>
      <c r="B787" s="5" t="inlineStr">
        <is>
          <t>PRO.INI.II</t>
        </is>
      </c>
      <c r="C787" s="5" t="inlineStr">
        <is>
          <t>PRO</t>
        </is>
      </c>
      <c r="D787" s="5" t="n">
        <v>5</v>
      </c>
      <c r="E787" s="5" t="inlineStr">
        <is>
          <t>Inicial</t>
        </is>
      </c>
      <c r="F787" s="5" t="inlineStr">
        <is>
          <t>II</t>
        </is>
      </c>
      <c r="G787" s="5" t="inlineStr">
        <is>
          <t>As instâncias de aprovação estabelecidas são claras e formalizadas.</t>
        </is>
      </c>
      <c r="H787" s="6" t="n"/>
      <c r="I787" s="6" t="n"/>
      <c r="J787" s="6" t="n"/>
      <c r="K787" s="6" t="inlineStr">
        <is>
          <t>pendente</t>
        </is>
      </c>
      <c r="L787" s="6" t="n"/>
      <c r="M787" s="5">
        <f>IF(H787="SIM",1,0)</f>
        <v/>
      </c>
      <c r="N787" s="5">
        <f>IF(AND(H787="SIM",K787="validado",I787&lt;&gt;""),1,0)</f>
        <v/>
      </c>
    </row>
    <row r="788">
      <c r="A788" s="5" t="inlineStr">
        <is>
          <t>ANCINE</t>
        </is>
      </c>
      <c r="B788" s="5" t="inlineStr">
        <is>
          <t>ARR_CAP.MC.I</t>
        </is>
      </c>
      <c r="C788" s="5" t="inlineStr">
        <is>
          <t>ARR_CAP</t>
        </is>
      </c>
      <c r="D788" s="5" t="n">
        <v>6</v>
      </c>
      <c r="E788" s="5" t="inlineStr">
        <is>
          <t>Melhoria Contínua</t>
        </is>
      </c>
      <c r="F788" s="5" t="inlineStr">
        <is>
          <t>I</t>
        </is>
      </c>
      <c r="G788" s="5" t="inlineStr">
        <is>
          <t>Plano de capacitação formalizado e em execução, incluindo permanente reciclagem em ARR;</t>
        </is>
      </c>
      <c r="H788" s="6" t="n"/>
      <c r="I788" s="6" t="n"/>
      <c r="J788" s="6" t="n"/>
      <c r="K788" s="6" t="inlineStr">
        <is>
          <t>pendente</t>
        </is>
      </c>
      <c r="L788" s="6" t="n"/>
      <c r="M788" s="5">
        <f>IF(H788="SIM",1,0)</f>
        <v/>
      </c>
      <c r="N788" s="5">
        <f>IF(AND(H788="SIM",K788="validado",I788&lt;&gt;""),1,0)</f>
        <v/>
      </c>
    </row>
    <row r="789">
      <c r="A789" s="5" t="inlineStr">
        <is>
          <t>ANCINE</t>
        </is>
      </c>
      <c r="B789" s="5" t="inlineStr">
        <is>
          <t>ARR_CAP.GER.I</t>
        </is>
      </c>
      <c r="C789" s="5" t="inlineStr">
        <is>
          <t>ARR_CAP</t>
        </is>
      </c>
      <c r="D789" s="5" t="n">
        <v>6</v>
      </c>
      <c r="E789" s="5" t="inlineStr">
        <is>
          <t>Gerenciado</t>
        </is>
      </c>
      <c r="F789" s="5" t="inlineStr">
        <is>
          <t>I</t>
        </is>
      </c>
      <c r="G789" s="5" t="inlineStr">
        <is>
          <t>Capacitações institucionalizadas, sem um plano formalizado;</t>
        </is>
      </c>
      <c r="H789" s="6" t="n"/>
      <c r="I789" s="6" t="n"/>
      <c r="J789" s="6" t="n"/>
      <c r="K789" s="6" t="inlineStr">
        <is>
          <t>pendente</t>
        </is>
      </c>
      <c r="L789" s="6" t="n"/>
      <c r="M789" s="5">
        <f>IF(H789="SIM",1,0)</f>
        <v/>
      </c>
      <c r="N789" s="5">
        <f>IF(AND(H789="SIM",K789="validado",I789&lt;&gt;""),1,0)</f>
        <v/>
      </c>
    </row>
    <row r="790">
      <c r="A790" s="5" t="inlineStr">
        <is>
          <t>ANCINE</t>
        </is>
      </c>
      <c r="B790" s="5" t="inlineStr">
        <is>
          <t>ARR_CAP.INI.I</t>
        </is>
      </c>
      <c r="C790" s="5" t="inlineStr">
        <is>
          <t>ARR_CAP</t>
        </is>
      </c>
      <c r="D790" s="5" t="n">
        <v>6</v>
      </c>
      <c r="E790" s="5" t="inlineStr">
        <is>
          <t>Inicial</t>
        </is>
      </c>
      <c r="F790" s="5" t="inlineStr">
        <is>
          <t>I</t>
        </is>
      </c>
      <c r="G790" s="5" t="inlineStr">
        <is>
          <t>Capacitações não estão institucionalizadas;</t>
        </is>
      </c>
      <c r="H790" s="6" t="n"/>
      <c r="I790" s="6" t="n"/>
      <c r="J790" s="6" t="n"/>
      <c r="K790" s="6" t="inlineStr">
        <is>
          <t>pendente</t>
        </is>
      </c>
      <c r="L790" s="6" t="n"/>
      <c r="M790" s="5">
        <f>IF(H790="SIM",1,0)</f>
        <v/>
      </c>
      <c r="N790" s="5">
        <f>IF(AND(H790="SIM",K790="validado",I790&lt;&gt;""),1,0)</f>
        <v/>
      </c>
    </row>
    <row r="791">
      <c r="A791" s="5" t="inlineStr">
        <is>
          <t>ANCINE</t>
        </is>
      </c>
      <c r="B791" s="5" t="inlineStr">
        <is>
          <t>ARR_CAP.MC.II</t>
        </is>
      </c>
      <c r="C791" s="5" t="inlineStr">
        <is>
          <t>ARR_CAP</t>
        </is>
      </c>
      <c r="D791" s="5" t="n">
        <v>6</v>
      </c>
      <c r="E791" s="5" t="inlineStr">
        <is>
          <t>Melhoria Contínua</t>
        </is>
      </c>
      <c r="F791" s="5" t="inlineStr">
        <is>
          <t>II</t>
        </is>
      </c>
      <c r="G791" s="5" t="inlineStr">
        <is>
          <t>No mínimo, 75% dos servidores envolvidos em elaboração de regulação capacitados em ARR.</t>
        </is>
      </c>
      <c r="H791" s="6" t="n"/>
      <c r="I791" s="6" t="n"/>
      <c r="J791" s="6" t="n"/>
      <c r="K791" s="6" t="inlineStr">
        <is>
          <t>pendente</t>
        </is>
      </c>
      <c r="L791" s="6" t="n"/>
      <c r="M791" s="5">
        <f>IF(H791="SIM",1,0)</f>
        <v/>
      </c>
      <c r="N791" s="5">
        <f>IF(AND(H791="SIM",K791="validado",I791&lt;&gt;""),1,0)</f>
        <v/>
      </c>
    </row>
    <row r="792">
      <c r="A792" s="5" t="inlineStr">
        <is>
          <t>ANCINE</t>
        </is>
      </c>
      <c r="B792" s="5" t="inlineStr">
        <is>
          <t>ARR_CAP.GER.II</t>
        </is>
      </c>
      <c r="C792" s="5" t="inlineStr">
        <is>
          <t>ARR_CAP</t>
        </is>
      </c>
      <c r="D792" s="5" t="n">
        <v>6</v>
      </c>
      <c r="E792" s="5" t="inlineStr">
        <is>
          <t>Gerenciado</t>
        </is>
      </c>
      <c r="F792" s="5" t="inlineStr">
        <is>
          <t>II</t>
        </is>
      </c>
      <c r="G792" s="5" t="inlineStr">
        <is>
          <t>de 50% a 74% dos servidores envolvidos em elaboração de regulação capacitados em ARR;</t>
        </is>
      </c>
      <c r="H792" s="6" t="n"/>
      <c r="I792" s="6" t="n"/>
      <c r="J792" s="6" t="n"/>
      <c r="K792" s="6" t="inlineStr">
        <is>
          <t>pendente</t>
        </is>
      </c>
      <c r="L792" s="6" t="n"/>
      <c r="M792" s="5">
        <f>IF(H792="SIM",1,0)</f>
        <v/>
      </c>
      <c r="N792" s="5">
        <f>IF(AND(H792="SIM",K792="validado",I792&lt;&gt;""),1,0)</f>
        <v/>
      </c>
    </row>
    <row r="793">
      <c r="A793" s="5" t="inlineStr">
        <is>
          <t>ANCINE</t>
        </is>
      </c>
      <c r="B793" s="5" t="inlineStr">
        <is>
          <t>ARR_CAP.INI.II</t>
        </is>
      </c>
      <c r="C793" s="5" t="inlineStr">
        <is>
          <t>ARR_CAP</t>
        </is>
      </c>
      <c r="D793" s="5" t="n">
        <v>6</v>
      </c>
      <c r="E793" s="5" t="inlineStr">
        <is>
          <t>Inicial</t>
        </is>
      </c>
      <c r="F793" s="5" t="inlineStr">
        <is>
          <t>II</t>
        </is>
      </c>
      <c r="G793" s="5" t="inlineStr">
        <is>
          <t>de 25% a 49% dos servidores envolvidos em elaboração de regulação capacitados em ARR.</t>
        </is>
      </c>
      <c r="H793" s="6" t="n"/>
      <c r="I793" s="6" t="n"/>
      <c r="J793" s="6" t="n"/>
      <c r="K793" s="6" t="inlineStr">
        <is>
          <t>pendente</t>
        </is>
      </c>
      <c r="L793" s="6" t="n"/>
      <c r="M793" s="5">
        <f>IF(H793="SIM",1,0)</f>
        <v/>
      </c>
      <c r="N793" s="5">
        <f>IF(AND(H793="SIM",K793="validado",I793&lt;&gt;""),1,0)</f>
        <v/>
      </c>
    </row>
    <row r="794">
      <c r="A794" s="5" t="inlineStr">
        <is>
          <t>ANCINE</t>
        </is>
      </c>
      <c r="B794" s="5" t="inlineStr">
        <is>
          <t>ARR_MET.MC.I</t>
        </is>
      </c>
      <c r="C794" s="5" t="inlineStr">
        <is>
          <t>ARR_MET</t>
        </is>
      </c>
      <c r="D794" s="5" t="n">
        <v>6</v>
      </c>
      <c r="E794" s="5" t="inlineStr">
        <is>
          <t>Melhoria Contínua</t>
        </is>
      </c>
      <c r="F794" s="5" t="inlineStr">
        <is>
          <t>I</t>
        </is>
      </c>
      <c r="G794" s="5" t="inlineStr">
        <is>
          <t>Metodologia de elaboração de ARR contempla a participação social, conforme complexidade do ato;</t>
        </is>
      </c>
      <c r="H794" s="6" t="n"/>
      <c r="I794" s="6" t="n"/>
      <c r="J794" s="6" t="n"/>
      <c r="K794" s="6" t="inlineStr">
        <is>
          <t>pendente</t>
        </is>
      </c>
      <c r="L794" s="6" t="n"/>
      <c r="M794" s="5">
        <f>IF(H794="SIM",1,0)</f>
        <v/>
      </c>
      <c r="N794" s="5">
        <f>IF(AND(H794="SIM",K794="validado",I794&lt;&gt;""),1,0)</f>
        <v/>
      </c>
    </row>
    <row r="795">
      <c r="A795" s="5" t="inlineStr">
        <is>
          <t>ANCINE</t>
        </is>
      </c>
      <c r="B795" s="5" t="inlineStr">
        <is>
          <t>ARR_MET.GER.I</t>
        </is>
      </c>
      <c r="C795" s="5" t="inlineStr">
        <is>
          <t>ARR_MET</t>
        </is>
      </c>
      <c r="D795" s="5" t="n">
        <v>6</v>
      </c>
      <c r="E795" s="5" t="inlineStr">
        <is>
          <t>Gerenciado</t>
        </is>
      </c>
      <c r="F795" s="5" t="inlineStr">
        <is>
          <t>I</t>
        </is>
      </c>
      <c r="G795" s="5" t="inlineStr">
        <is>
          <t>Existência de manual ou ato normativo instituindo a aplicabilidade de ARR no órgão;</t>
        </is>
      </c>
      <c r="H795" s="6" t="n"/>
      <c r="I795" s="6" t="n"/>
      <c r="J795" s="6" t="n"/>
      <c r="K795" s="6" t="inlineStr">
        <is>
          <t>pendente</t>
        </is>
      </c>
      <c r="L795" s="6" t="n"/>
      <c r="M795" s="5">
        <f>IF(H795="SIM",1,0)</f>
        <v/>
      </c>
      <c r="N795" s="5">
        <f>IF(AND(H795="SIM",K795="validado",I795&lt;&gt;""),1,0)</f>
        <v/>
      </c>
    </row>
    <row r="796">
      <c r="A796" s="5" t="inlineStr">
        <is>
          <t>ANCINE</t>
        </is>
      </c>
      <c r="B796" s="5" t="inlineStr">
        <is>
          <t>ARR_MET.INI.I</t>
        </is>
      </c>
      <c r="C796" s="5" t="inlineStr">
        <is>
          <t>ARR_MET</t>
        </is>
      </c>
      <c r="D796" s="5" t="n">
        <v>6</v>
      </c>
      <c r="E796" s="5" t="inlineStr">
        <is>
          <t>Inicial</t>
        </is>
      </c>
      <c r="F796" s="5" t="inlineStr">
        <is>
          <t>I</t>
        </is>
      </c>
      <c r="G796" s="5" t="inlineStr">
        <is>
          <t>existe Agenda de ARR, conforme determinado no Decreto nº 10.411, de 2020.</t>
        </is>
      </c>
      <c r="H796" s="6" t="n"/>
      <c r="I796" s="6" t="n"/>
      <c r="J796" s="6" t="n"/>
      <c r="K796" s="6" t="inlineStr">
        <is>
          <t>pendente</t>
        </is>
      </c>
      <c r="L796" s="6" t="n"/>
      <c r="M796" s="5">
        <f>IF(H796="SIM",1,0)</f>
        <v/>
      </c>
      <c r="N796" s="5">
        <f>IF(AND(H796="SIM",K796="validado",I796&lt;&gt;""),1,0)</f>
        <v/>
      </c>
    </row>
    <row r="797">
      <c r="A797" s="5" t="inlineStr">
        <is>
          <t>ANCINE</t>
        </is>
      </c>
      <c r="B797" s="5" t="inlineStr">
        <is>
          <t>ARR_MET.MC.II</t>
        </is>
      </c>
      <c r="C797" s="5" t="inlineStr">
        <is>
          <t>ARR_MET</t>
        </is>
      </c>
      <c r="D797" s="5" t="n">
        <v>6</v>
      </c>
      <c r="E797" s="5" t="inlineStr">
        <is>
          <t>Melhoria Contínua</t>
        </is>
      </c>
      <c r="F797" s="5" t="inlineStr">
        <is>
          <t>II</t>
        </is>
      </c>
      <c r="G797" s="5" t="inlineStr">
        <is>
          <t>Existência de Agenda de ARR integrada com a Agenda Regulatória.</t>
        </is>
      </c>
      <c r="H797" s="6" t="n"/>
      <c r="I797" s="6" t="n"/>
      <c r="J797" s="6" t="n"/>
      <c r="K797" s="6" t="inlineStr">
        <is>
          <t>pendente</t>
        </is>
      </c>
      <c r="L797" s="6" t="n"/>
      <c r="M797" s="5">
        <f>IF(H797="SIM",1,0)</f>
        <v/>
      </c>
      <c r="N797" s="5">
        <f>IF(AND(H797="SIM",K797="validado",I797&lt;&gt;""),1,0)</f>
        <v/>
      </c>
    </row>
    <row r="798">
      <c r="A798" s="5" t="inlineStr">
        <is>
          <t>ANCINE</t>
        </is>
      </c>
      <c r="B798" s="5" t="inlineStr">
        <is>
          <t>ARR_MET.GER.II</t>
        </is>
      </c>
      <c r="C798" s="5" t="inlineStr">
        <is>
          <t>ARR_MET</t>
        </is>
      </c>
      <c r="D798" s="5" t="n">
        <v>6</v>
      </c>
      <c r="E798" s="5" t="inlineStr">
        <is>
          <t>Gerenciado</t>
        </is>
      </c>
      <c r="F798" s="5" t="inlineStr">
        <is>
          <t>II</t>
        </is>
      </c>
      <c r="G798" s="5" t="inlineStr">
        <is>
          <t>Metodologia de elaboração da Agenda de ARR contempla participação social.</t>
        </is>
      </c>
      <c r="H798" s="6" t="n"/>
      <c r="I798" s="6" t="n"/>
      <c r="J798" s="6" t="n"/>
      <c r="K798" s="6" t="inlineStr">
        <is>
          <t>pendente</t>
        </is>
      </c>
      <c r="L798" s="6" t="n"/>
      <c r="M798" s="5">
        <f>IF(H798="SIM",1,0)</f>
        <v/>
      </c>
      <c r="N798" s="5">
        <f>IF(AND(H798="SIM",K798="validado",I798&lt;&gt;""),1,0)</f>
        <v/>
      </c>
    </row>
    <row r="799">
      <c r="A799" s="5" t="inlineStr">
        <is>
          <t>ANCINE</t>
        </is>
      </c>
      <c r="B799" s="5" t="inlineStr">
        <is>
          <t>ARR_PRO.MC.I</t>
        </is>
      </c>
      <c r="C799" s="5" t="inlineStr">
        <is>
          <t>ARR_PRO</t>
        </is>
      </c>
      <c r="D799" s="5" t="n">
        <v>6</v>
      </c>
      <c r="E799" s="5" t="inlineStr">
        <is>
          <t>Melhoria Contínua</t>
        </is>
      </c>
      <c r="F799" s="5" t="inlineStr">
        <is>
          <t>I</t>
        </is>
      </c>
      <c r="G799" s="5" t="inlineStr">
        <is>
          <t>Há processo contínuo de avaliação e melhoria do processo de elaboração de ARR;</t>
        </is>
      </c>
      <c r="H799" s="6" t="n"/>
      <c r="I799" s="6" t="n"/>
      <c r="J799" s="6" t="n"/>
      <c r="K799" s="6" t="inlineStr">
        <is>
          <t>pendente</t>
        </is>
      </c>
      <c r="L799" s="6" t="n"/>
      <c r="M799" s="5">
        <f>IF(H799="SIM",1,0)</f>
        <v/>
      </c>
      <c r="N799" s="5">
        <f>IF(AND(H799="SIM",K799="validado",I799&lt;&gt;""),1,0)</f>
        <v/>
      </c>
    </row>
    <row r="800">
      <c r="A800" s="5" t="inlineStr">
        <is>
          <t>ANCINE</t>
        </is>
      </c>
      <c r="B800" s="5" t="inlineStr">
        <is>
          <t>ARR_PRO.GER.I</t>
        </is>
      </c>
      <c r="C800" s="5" t="inlineStr">
        <is>
          <t>ARR_PRO</t>
        </is>
      </c>
      <c r="D800" s="5" t="n">
        <v>6</v>
      </c>
      <c r="E800" s="5" t="inlineStr">
        <is>
          <t>Gerenciado</t>
        </is>
      </c>
      <c r="F800" s="5" t="inlineStr">
        <is>
          <t>I</t>
        </is>
      </c>
      <c r="G800" s="5" t="inlineStr">
        <is>
          <t>ARR é realizada conforme manual ou ato normativo;</t>
        </is>
      </c>
      <c r="H800" s="6" t="n"/>
      <c r="I800" s="6" t="n"/>
      <c r="J800" s="6" t="n"/>
      <c r="K800" s="6" t="inlineStr">
        <is>
          <t>pendente</t>
        </is>
      </c>
      <c r="L800" s="6" t="n"/>
      <c r="M800" s="5">
        <f>IF(H800="SIM",1,0)</f>
        <v/>
      </c>
      <c r="N800" s="5">
        <f>IF(AND(H800="SIM",K800="validado",I800&lt;&gt;""),1,0)</f>
        <v/>
      </c>
    </row>
    <row r="801">
      <c r="A801" s="5" t="inlineStr">
        <is>
          <t>ANCINE</t>
        </is>
      </c>
      <c r="B801" s="5" t="inlineStr">
        <is>
          <t>ARR_PRO.INI.I</t>
        </is>
      </c>
      <c r="C801" s="5" t="inlineStr">
        <is>
          <t>ARR_PRO</t>
        </is>
      </c>
      <c r="D801" s="5" t="n">
        <v>6</v>
      </c>
      <c r="E801" s="5" t="inlineStr">
        <is>
          <t>Inicial</t>
        </is>
      </c>
      <c r="F801" s="5" t="inlineStr">
        <is>
          <t>I</t>
        </is>
      </c>
      <c r="G801" s="5" t="inlineStr">
        <is>
          <t>Todas as ARRs são publicadas e acessíveis ao público na internet;</t>
        </is>
      </c>
      <c r="H801" s="6" t="n"/>
      <c r="I801" s="6" t="n"/>
      <c r="J801" s="6" t="n"/>
      <c r="K801" s="6" t="inlineStr">
        <is>
          <t>pendente</t>
        </is>
      </c>
      <c r="L801" s="6" t="n"/>
      <c r="M801" s="5">
        <f>IF(H801="SIM",1,0)</f>
        <v/>
      </c>
      <c r="N801" s="5">
        <f>IF(AND(H801="SIM",K801="validado",I801&lt;&gt;""),1,0)</f>
        <v/>
      </c>
    </row>
    <row r="802">
      <c r="A802" s="5" t="inlineStr">
        <is>
          <t>ANCINE</t>
        </is>
      </c>
      <c r="B802" s="5" t="inlineStr">
        <is>
          <t>ARR_PRO.MC.II</t>
        </is>
      </c>
      <c r="C802" s="5" t="inlineStr">
        <is>
          <t>ARR_PRO</t>
        </is>
      </c>
      <c r="D802" s="5" t="n">
        <v>6</v>
      </c>
      <c r="E802" s="5" t="inlineStr">
        <is>
          <t>Melhoria Contínua</t>
        </is>
      </c>
      <c r="F802" s="5" t="inlineStr">
        <is>
          <t>II</t>
        </is>
      </c>
      <c r="G802" s="5" t="inlineStr">
        <is>
          <t>A execução da Agenda de ARR é periodicamente monitorada e divulgada.</t>
        </is>
      </c>
      <c r="H802" s="6" t="n"/>
      <c r="I802" s="6" t="n"/>
      <c r="J802" s="6" t="n"/>
      <c r="K802" s="6" t="inlineStr">
        <is>
          <t>pendente</t>
        </is>
      </c>
      <c r="L802" s="6" t="n"/>
      <c r="M802" s="5">
        <f>IF(H802="SIM",1,0)</f>
        <v/>
      </c>
      <c r="N802" s="5">
        <f>IF(AND(H802="SIM",K802="validado",I802&lt;&gt;""),1,0)</f>
        <v/>
      </c>
    </row>
    <row r="803">
      <c r="A803" s="5" t="inlineStr">
        <is>
          <t>ANCINE</t>
        </is>
      </c>
      <c r="B803" s="5" t="inlineStr">
        <is>
          <t>ARR_PRO.GER.II</t>
        </is>
      </c>
      <c r="C803" s="5" t="inlineStr">
        <is>
          <t>ARR_PRO</t>
        </is>
      </c>
      <c r="D803" s="5" t="n">
        <v>6</v>
      </c>
      <c r="E803" s="5" t="inlineStr">
        <is>
          <t>Gerenciado</t>
        </is>
      </c>
      <c r="F803" s="5" t="inlineStr">
        <is>
          <t>II</t>
        </is>
      </c>
      <c r="G803" s="5" t="inlineStr">
        <is>
          <t>ARRs de alto impacto/alta complexidade foram submetidas à participação social.</t>
        </is>
      </c>
      <c r="H803" s="6" t="n"/>
      <c r="I803" s="6" t="n"/>
      <c r="J803" s="6" t="n"/>
      <c r="K803" s="6" t="inlineStr">
        <is>
          <t>pendente</t>
        </is>
      </c>
      <c r="L803" s="6" t="n"/>
      <c r="M803" s="5">
        <f>IF(H803="SIM",1,0)</f>
        <v/>
      </c>
      <c r="N803" s="5">
        <f>IF(AND(H803="SIM",K803="validado",I803&lt;&gt;""),1,0)</f>
        <v/>
      </c>
    </row>
    <row r="804">
      <c r="A804" s="5" t="inlineStr">
        <is>
          <t>ANCINE</t>
        </is>
      </c>
      <c r="B804" s="5" t="inlineStr">
        <is>
          <t>ARR_PRO.INI.II</t>
        </is>
      </c>
      <c r="C804" s="5" t="inlineStr">
        <is>
          <t>ARR_PRO</t>
        </is>
      </c>
      <c r="D804" s="5" t="n">
        <v>6</v>
      </c>
      <c r="E804" s="5" t="inlineStr">
        <is>
          <t>Inicial</t>
        </is>
      </c>
      <c r="F804" s="5" t="inlineStr">
        <is>
          <t>II</t>
        </is>
      </c>
      <c r="G804" s="5" t="inlineStr">
        <is>
          <t>A agenda de ARR está publicada no site do órgão.</t>
        </is>
      </c>
      <c r="H804" s="6" t="n"/>
      <c r="I804" s="6" t="n"/>
      <c r="J804" s="6" t="n"/>
      <c r="K804" s="6" t="inlineStr">
        <is>
          <t>pendente</t>
        </is>
      </c>
      <c r="L804" s="6" t="n"/>
      <c r="M804" s="5">
        <f>IF(H804="SIM",1,0)</f>
        <v/>
      </c>
      <c r="N804" s="5">
        <f>IF(AND(H804="SIM",K804="validado",I804&lt;&gt;""),1,0)</f>
        <v/>
      </c>
    </row>
    <row r="805">
      <c r="A805" s="5" t="inlineStr">
        <is>
          <t>ANPD</t>
        </is>
      </c>
      <c r="B805" s="5" t="inlineStr">
        <is>
          <t>AIR_CAP.MC.I</t>
        </is>
      </c>
      <c r="C805" s="5" t="inlineStr">
        <is>
          <t>AIR_CAP</t>
        </is>
      </c>
      <c r="D805" s="5" t="n">
        <v>1</v>
      </c>
      <c r="E805" s="5" t="inlineStr">
        <is>
          <t>Melhoria Contínua</t>
        </is>
      </c>
      <c r="F805" s="5" t="inlineStr">
        <is>
          <t>I</t>
        </is>
      </c>
      <c r="G805" s="5" t="inlineStr">
        <is>
          <t>Plano de capacitação formalizado e em execução, incluindo permanente reciclagem em técnicas de AIR;</t>
        </is>
      </c>
      <c r="H805" s="6" t="n"/>
      <c r="I805" s="6" t="n"/>
      <c r="J805" s="6" t="n"/>
      <c r="K805" s="6" t="inlineStr">
        <is>
          <t>pendente</t>
        </is>
      </c>
      <c r="L805" s="6" t="n"/>
      <c r="M805" s="5">
        <f>IF(H805="SIM",1,0)</f>
        <v/>
      </c>
      <c r="N805" s="5">
        <f>IF(AND(H805="SIM",K805="validado",I805&lt;&gt;""),1,0)</f>
        <v/>
      </c>
    </row>
    <row r="806">
      <c r="A806" s="5" t="inlineStr">
        <is>
          <t>ANPD</t>
        </is>
      </c>
      <c r="B806" s="5" t="inlineStr">
        <is>
          <t>AIR_CAP.GER.I</t>
        </is>
      </c>
      <c r="C806" s="5" t="inlineStr">
        <is>
          <t>AIR_CAP</t>
        </is>
      </c>
      <c r="D806" s="5" t="n">
        <v>1</v>
      </c>
      <c r="E806" s="5" t="inlineStr">
        <is>
          <t>Gerenciado</t>
        </is>
      </c>
      <c r="F806" s="5" t="inlineStr">
        <is>
          <t>I</t>
        </is>
      </c>
      <c r="G806" s="5" t="inlineStr">
        <is>
          <t>Capacitações em AIR estão institucionalizadas, sem um plano formalizado;</t>
        </is>
      </c>
      <c r="H806" s="6" t="n"/>
      <c r="I806" s="6" t="n"/>
      <c r="J806" s="6" t="n"/>
      <c r="K806" s="6" t="inlineStr">
        <is>
          <t>pendente</t>
        </is>
      </c>
      <c r="L806" s="6" t="n"/>
      <c r="M806" s="5">
        <f>IF(H806="SIM",1,0)</f>
        <v/>
      </c>
      <c r="N806" s="5">
        <f>IF(AND(H806="SIM",K806="validado",I806&lt;&gt;""),1,0)</f>
        <v/>
      </c>
    </row>
    <row r="807">
      <c r="A807" s="5" t="inlineStr">
        <is>
          <t>ANPD</t>
        </is>
      </c>
      <c r="B807" s="5" t="inlineStr">
        <is>
          <t>AIR_CAP.INI.I</t>
        </is>
      </c>
      <c r="C807" s="5" t="inlineStr">
        <is>
          <t>AIR_CAP</t>
        </is>
      </c>
      <c r="D807" s="5" t="n">
        <v>1</v>
      </c>
      <c r="E807" s="5" t="inlineStr">
        <is>
          <t>Inicial</t>
        </is>
      </c>
      <c r="F807" s="5" t="inlineStr">
        <is>
          <t>I</t>
        </is>
      </c>
      <c r="G807" s="5" t="inlineStr">
        <is>
          <t>Capacitações em AIR não estão institucionalizadas;</t>
        </is>
      </c>
      <c r="H807" s="6" t="n"/>
      <c r="I807" s="6" t="n"/>
      <c r="J807" s="6" t="n"/>
      <c r="K807" s="6" t="inlineStr">
        <is>
          <t>pendente</t>
        </is>
      </c>
      <c r="L807" s="6" t="n"/>
      <c r="M807" s="5">
        <f>IF(H807="SIM",1,0)</f>
        <v/>
      </c>
      <c r="N807" s="5">
        <f>IF(AND(H807="SIM",K807="validado",I807&lt;&gt;""),1,0)</f>
        <v/>
      </c>
    </row>
    <row r="808">
      <c r="A808" s="5" t="inlineStr">
        <is>
          <t>ANPD</t>
        </is>
      </c>
      <c r="B808" s="5" t="inlineStr">
        <is>
          <t>AIR_CAP.MC.II</t>
        </is>
      </c>
      <c r="C808" s="5" t="inlineStr">
        <is>
          <t>AIR_CAP</t>
        </is>
      </c>
      <c r="D808" s="5" t="n">
        <v>1</v>
      </c>
      <c r="E808" s="5" t="inlineStr">
        <is>
          <t>Melhoria Contínua</t>
        </is>
      </c>
      <c r="F808" s="5" t="inlineStr">
        <is>
          <t>II</t>
        </is>
      </c>
      <c r="G808" s="5" t="inlineStr">
        <is>
          <t>no mínimo 75%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08" s="6" t="n"/>
      <c r="I808" s="6" t="n"/>
      <c r="J808" s="6" t="n"/>
      <c r="K808" s="6" t="inlineStr">
        <is>
          <t>pendente</t>
        </is>
      </c>
      <c r="L808" s="6" t="n"/>
      <c r="M808" s="5">
        <f>IF(H808="SIM",1,0)</f>
        <v/>
      </c>
      <c r="N808" s="5">
        <f>IF(AND(H808="SIM",K808="validado",I808&lt;&gt;""),1,0)</f>
        <v/>
      </c>
    </row>
    <row r="809">
      <c r="A809" s="5" t="inlineStr">
        <is>
          <t>ANPD</t>
        </is>
      </c>
      <c r="B809" s="5" t="inlineStr">
        <is>
          <t>AIR_CAP.GER.II</t>
        </is>
      </c>
      <c r="C809" s="5" t="inlineStr">
        <is>
          <t>AIR_CAP</t>
        </is>
      </c>
      <c r="D809" s="5" t="n">
        <v>1</v>
      </c>
      <c r="E809" s="5" t="inlineStr">
        <is>
          <t>Gerenciado</t>
        </is>
      </c>
      <c r="F809" s="5" t="inlineStr">
        <is>
          <t>II</t>
        </is>
      </c>
      <c r="G809" s="5" t="inlineStr">
        <is>
          <t>no mínimo 75% dos servidores envolvidos em elaboração de regulação capacitados em nível básico, ou seja, capazes de reconhecer o objetivo de uma AIR, bem como nomear as etapas de uma AIR e possibilidades de dispensa e não aplicabilidade, nos termos no Decreto nº 10.411, de 2020;</t>
        </is>
      </c>
      <c r="H809" s="6" t="n"/>
      <c r="I809" s="6" t="n"/>
      <c r="J809" s="6" t="n"/>
      <c r="K809" s="6" t="inlineStr">
        <is>
          <t>pendente</t>
        </is>
      </c>
      <c r="L809" s="6" t="n"/>
      <c r="M809" s="5">
        <f>IF(H809="SIM",1,0)</f>
        <v/>
      </c>
      <c r="N809" s="5">
        <f>IF(AND(H809="SIM",K809="validado",I809&lt;&gt;""),1,0)</f>
        <v/>
      </c>
    </row>
    <row r="810">
      <c r="A810" s="5" t="inlineStr">
        <is>
          <t>ANPD</t>
        </is>
      </c>
      <c r="B810" s="5" t="inlineStr">
        <is>
          <t>AIR_CAP.INI.II</t>
        </is>
      </c>
      <c r="C810" s="5" t="inlineStr">
        <is>
          <t>AIR_CAP</t>
        </is>
      </c>
      <c r="D810" s="5" t="n">
        <v>1</v>
      </c>
      <c r="E810" s="5" t="inlineStr">
        <is>
          <t>Inicial</t>
        </is>
      </c>
      <c r="F810" s="5" t="inlineStr">
        <is>
          <t>II</t>
        </is>
      </c>
      <c r="G810" s="5" t="inlineStr">
        <is>
          <t>de 50% a 74% dos servidores envolvidos em elaboração de regulação capacitados em nível básico, ou seja, capazes de reconhecer o objetivo de uma AIR, bem como nomear as etapas de uma AIR e possibilidades de dispensa e não aplicabilidade, nos termos no Decreto nº 10.411, de 30 de junho de 2020;</t>
        </is>
      </c>
      <c r="H810" s="6" t="n"/>
      <c r="I810" s="6" t="n"/>
      <c r="J810" s="6" t="n"/>
      <c r="K810" s="6" t="inlineStr">
        <is>
          <t>pendente</t>
        </is>
      </c>
      <c r="L810" s="6" t="n"/>
      <c r="M810" s="5">
        <f>IF(H810="SIM",1,0)</f>
        <v/>
      </c>
      <c r="N810" s="5">
        <f>IF(AND(H810="SIM",K810="validado",I810&lt;&gt;""),1,0)</f>
        <v/>
      </c>
    </row>
    <row r="811">
      <c r="A811" s="5" t="inlineStr">
        <is>
          <t>ANPD</t>
        </is>
      </c>
      <c r="B811" s="5" t="inlineStr">
        <is>
          <t>AIR_CAP.MC.III</t>
        </is>
      </c>
      <c r="C811" s="5" t="inlineStr">
        <is>
          <t>AIR_CAP</t>
        </is>
      </c>
      <c r="D811" s="5" t="n">
        <v>1</v>
      </c>
      <c r="E811" s="5" t="inlineStr">
        <is>
          <t>Melhoria Contínua</t>
        </is>
      </c>
      <c r="F811" s="5" t="inlineStr">
        <is>
          <t>III</t>
        </is>
      </c>
      <c r="G811" s="5" t="inlineStr">
        <is>
          <t>no mínimo 50%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1" s="6" t="n"/>
      <c r="I811" s="6" t="n"/>
      <c r="J811" s="6" t="n"/>
      <c r="K811" s="6" t="inlineStr">
        <is>
          <t>pendente</t>
        </is>
      </c>
      <c r="L811" s="6" t="n"/>
      <c r="M811" s="5">
        <f>IF(H811="SIM",1,0)</f>
        <v/>
      </c>
      <c r="N811" s="5">
        <f>IF(AND(H811="SIM",K811="validado",I811&lt;&gt;""),1,0)</f>
        <v/>
      </c>
    </row>
    <row r="812">
      <c r="A812" s="5" t="inlineStr">
        <is>
          <t>ANPD</t>
        </is>
      </c>
      <c r="B812" s="5" t="inlineStr">
        <is>
          <t>AIR_CAP.GER.III</t>
        </is>
      </c>
      <c r="C812" s="5" t="inlineStr">
        <is>
          <t>AIR_CAP</t>
        </is>
      </c>
      <c r="D812" s="5" t="n">
        <v>1</v>
      </c>
      <c r="E812" s="5" t="inlineStr">
        <is>
          <t>Gerenciado</t>
        </is>
      </c>
      <c r="F812" s="5" t="inlineStr">
        <is>
          <t>III</t>
        </is>
      </c>
      <c r="G812" s="5" t="inlineStr">
        <is>
          <t>de 50% a 74%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sugerida;</t>
        </is>
      </c>
      <c r="H812" s="6" t="n"/>
      <c r="I812" s="6" t="n"/>
      <c r="J812" s="6" t="n"/>
      <c r="K812" s="6" t="inlineStr">
        <is>
          <t>pendente</t>
        </is>
      </c>
      <c r="L812" s="6" t="n"/>
      <c r="M812" s="5">
        <f>IF(H812="SIM",1,0)</f>
        <v/>
      </c>
      <c r="N812" s="5">
        <f>IF(AND(H812="SIM",K812="validado",I812&lt;&gt;""),1,0)</f>
        <v/>
      </c>
    </row>
    <row r="813">
      <c r="A813" s="5" t="inlineStr">
        <is>
          <t>ANPD</t>
        </is>
      </c>
      <c r="B813" s="5" t="inlineStr">
        <is>
          <t>AIR_CAP.INI.III</t>
        </is>
      </c>
      <c r="C813" s="5" t="inlineStr">
        <is>
          <t>AIR_CAP</t>
        </is>
      </c>
      <c r="D813" s="5" t="n">
        <v>1</v>
      </c>
      <c r="E813" s="5" t="inlineStr">
        <is>
          <t>Inicial</t>
        </is>
      </c>
      <c r="F813" s="5" t="inlineStr">
        <is>
          <t>III</t>
        </is>
      </c>
      <c r="G813" s="5" t="inlineStr">
        <is>
          <t>de 25% a 49% dos servidores envolvidos em elaboração de regulação capacitados em nível intermediário, ou seja, capazes de desenvolver as etapas de mapeamento do problema (incluindo atores, objetivos e base legal), levantamento de alternativas, análises qualitativas dos impactos das alternativas e elaboração do plano de implementação da alternativa sugerida.</t>
        </is>
      </c>
      <c r="H813" s="6" t="n"/>
      <c r="I813" s="6" t="n"/>
      <c r="J813" s="6" t="n"/>
      <c r="K813" s="6" t="inlineStr">
        <is>
          <t>pendente</t>
        </is>
      </c>
      <c r="L813" s="6" t="n"/>
      <c r="M813" s="5">
        <f>IF(H813="SIM",1,0)</f>
        <v/>
      </c>
      <c r="N813" s="5">
        <f>IF(AND(H813="SIM",K813="validado",I813&lt;&gt;""),1,0)</f>
        <v/>
      </c>
    </row>
    <row r="814">
      <c r="A814" s="5" t="inlineStr">
        <is>
          <t>ANPD</t>
        </is>
      </c>
      <c r="B814" s="5" t="inlineStr">
        <is>
          <t>AIR_CAP.GER.IV</t>
        </is>
      </c>
      <c r="C814" s="5" t="inlineStr">
        <is>
          <t>AIR_CAP</t>
        </is>
      </c>
      <c r="D814" s="5" t="n">
        <v>1</v>
      </c>
      <c r="E814" s="5" t="inlineStr">
        <is>
          <t>Gerenciado</t>
        </is>
      </c>
      <c r="F814" s="5" t="inlineStr">
        <is>
          <t>IV</t>
        </is>
      </c>
      <c r="G814" s="5" t="inlineStr">
        <is>
          <t>de 25% a 49% dos servidores envolvidos em elaboração de regulação capacitados em nível avançado, ou seja, capazes de desenvolver as etapas de mapeamento do problema (incluindo atores, objetivos e base legal), levantamento de alternativas, análises qualitativas e quantitativas dos impactos das alternativas e elaboração do plano de implementação da alternativa sugerida (incluindo avaliação de riscos).</t>
        </is>
      </c>
      <c r="H814" s="6" t="n"/>
      <c r="I814" s="6" t="n"/>
      <c r="J814" s="6" t="n"/>
      <c r="K814" s="6" t="inlineStr">
        <is>
          <t>pendente</t>
        </is>
      </c>
      <c r="L814" s="6" t="n"/>
      <c r="M814" s="5">
        <f>IF(H814="SIM",1,0)</f>
        <v/>
      </c>
      <c r="N814" s="5">
        <f>IF(AND(H814="SIM",K814="validado",I814&lt;&gt;""),1,0)</f>
        <v/>
      </c>
    </row>
    <row r="815">
      <c r="A815" s="5" t="inlineStr">
        <is>
          <t>ANPD</t>
        </is>
      </c>
      <c r="B815" s="5" t="inlineStr">
        <is>
          <t>AIR_MET.MC.I</t>
        </is>
      </c>
      <c r="C815" s="5" t="inlineStr">
        <is>
          <t>AIR_MET</t>
        </is>
      </c>
      <c r="D815" s="5" t="n">
        <v>1</v>
      </c>
      <c r="E815" s="5" t="inlineStr">
        <is>
          <t>Melhoria Contínua</t>
        </is>
      </c>
      <c r="F815" s="5" t="inlineStr">
        <is>
          <t>I</t>
        </is>
      </c>
      <c r="G815" s="5" t="inlineStr">
        <is>
          <t>Critérios objetivos estabelecidos para classificação quanto ao nível de impacto e complexidade da AIR;</t>
        </is>
      </c>
      <c r="H815" s="6" t="n"/>
      <c r="I815" s="6" t="n"/>
      <c r="J815" s="6" t="n"/>
      <c r="K815" s="6" t="inlineStr">
        <is>
          <t>pendente</t>
        </is>
      </c>
      <c r="L815" s="6" t="n"/>
      <c r="M815" s="5">
        <f>IF(H815="SIM",1,0)</f>
        <v/>
      </c>
      <c r="N815" s="5">
        <f>IF(AND(H815="SIM",K815="validado",I815&lt;&gt;""),1,0)</f>
        <v/>
      </c>
    </row>
    <row r="816">
      <c r="A816" s="5" t="inlineStr">
        <is>
          <t>ANPD</t>
        </is>
      </c>
      <c r="B816" s="5" t="inlineStr">
        <is>
          <t>AIR_MET.GER.I</t>
        </is>
      </c>
      <c r="C816" s="5" t="inlineStr">
        <is>
          <t>AIR_MET</t>
        </is>
      </c>
      <c r="D816" s="5" t="n">
        <v>1</v>
      </c>
      <c r="E816" s="5" t="inlineStr">
        <is>
          <t>Gerenciado</t>
        </is>
      </c>
      <c r="F816" s="5" t="inlineStr">
        <is>
          <t>I</t>
        </is>
      </c>
      <c r="G816" s="5" t="inlineStr">
        <is>
          <t>Existência de manual ou ato normativo interno instituindo a aplicabilidade institucional da AIR;</t>
        </is>
      </c>
      <c r="H816" s="6" t="n"/>
      <c r="I816" s="6" t="n"/>
      <c r="J816" s="6" t="n"/>
      <c r="K816" s="6" t="inlineStr">
        <is>
          <t>pendente</t>
        </is>
      </c>
      <c r="L816" s="6" t="n"/>
      <c r="M816" s="5">
        <f>IF(H816="SIM",1,0)</f>
        <v/>
      </c>
      <c r="N816" s="5">
        <f>IF(AND(H816="SIM",K816="validado",I816&lt;&gt;""),1,0)</f>
        <v/>
      </c>
    </row>
    <row r="817">
      <c r="A817" s="5" t="inlineStr">
        <is>
          <t>ANPD</t>
        </is>
      </c>
      <c r="B817" s="5" t="inlineStr">
        <is>
          <t>AIR_MET.INI.I</t>
        </is>
      </c>
      <c r="C817" s="5" t="inlineStr">
        <is>
          <t>AIR_MET</t>
        </is>
      </c>
      <c r="D817" s="5" t="n">
        <v>1</v>
      </c>
      <c r="E817" s="5" t="inlineStr">
        <is>
          <t>Inicial</t>
        </is>
      </c>
      <c r="F817" s="5" t="inlineStr">
        <is>
          <t>I</t>
        </is>
      </c>
      <c r="G817" s="5" t="inlineStr">
        <is>
          <t>houve a publicação de normativo interno dispondo sobre a aplicação da AIR na instituição, conforme Decreto nº 10.411, de 2020.</t>
        </is>
      </c>
      <c r="H817" s="6" t="n"/>
      <c r="I817" s="6" t="n"/>
      <c r="J817" s="6" t="n"/>
      <c r="K817" s="6" t="inlineStr">
        <is>
          <t>pendente</t>
        </is>
      </c>
      <c r="L817" s="6" t="n"/>
      <c r="M817" s="5">
        <f>IF(H817="SIM",1,0)</f>
        <v/>
      </c>
      <c r="N817" s="5">
        <f>IF(AND(H817="SIM",K817="validado",I817&lt;&gt;""),1,0)</f>
        <v/>
      </c>
    </row>
    <row r="818">
      <c r="A818" s="5" t="inlineStr">
        <is>
          <t>ANPD</t>
        </is>
      </c>
      <c r="B818" s="5" t="inlineStr">
        <is>
          <t>AIR_MET.MC.II</t>
        </is>
      </c>
      <c r="C818" s="5" t="inlineStr">
        <is>
          <t>AIR_MET</t>
        </is>
      </c>
      <c r="D818" s="5" t="n">
        <v>1</v>
      </c>
      <c r="E818" s="5" t="inlineStr">
        <is>
          <t>Melhoria Contínua</t>
        </is>
      </c>
      <c r="F818" s="5" t="inlineStr">
        <is>
          <t>II</t>
        </is>
      </c>
      <c r="G818" s="5" t="inlineStr">
        <is>
          <t>Metodologia contempla participação social prévia e posterior à elaboração da AIR, conforme complexidade do ato.</t>
        </is>
      </c>
      <c r="H818" s="6" t="n"/>
      <c r="I818" s="6" t="n"/>
      <c r="J818" s="6" t="n"/>
      <c r="K818" s="6" t="inlineStr">
        <is>
          <t>pendente</t>
        </is>
      </c>
      <c r="L818" s="6" t="n"/>
      <c r="M818" s="5">
        <f>IF(H818="SIM",1,0)</f>
        <v/>
      </c>
      <c r="N818" s="5">
        <f>IF(AND(H818="SIM",K818="validado",I818&lt;&gt;""),1,0)</f>
        <v/>
      </c>
    </row>
    <row r="819">
      <c r="A819" s="5" t="inlineStr">
        <is>
          <t>ANPD</t>
        </is>
      </c>
      <c r="B819" s="5" t="inlineStr">
        <is>
          <t>AIR_MET.GER.II</t>
        </is>
      </c>
      <c r="C819" s="5" t="inlineStr">
        <is>
          <t>AIR_MET</t>
        </is>
      </c>
      <c r="D819" s="5" t="n">
        <v>1</v>
      </c>
      <c r="E819" s="5" t="inlineStr">
        <is>
          <t>Gerenciado</t>
        </is>
      </c>
      <c r="F819" s="5" t="inlineStr">
        <is>
          <t>II</t>
        </is>
      </c>
      <c r="G819" s="5" t="inlineStr">
        <is>
          <t>Existência de manual ou ato normativo dispondo sobre a participação social posterior relativa à AIR.</t>
        </is>
      </c>
      <c r="H819" s="6" t="n"/>
      <c r="I819" s="6" t="n"/>
      <c r="J819" s="6" t="n"/>
      <c r="K819" s="6" t="inlineStr">
        <is>
          <t>pendente</t>
        </is>
      </c>
      <c r="L819" s="6" t="n"/>
      <c r="M819" s="5">
        <f>IF(H819="SIM",1,0)</f>
        <v/>
      </c>
      <c r="N819" s="5">
        <f>IF(AND(H819="SIM",K819="validado",I819&lt;&gt;""),1,0)</f>
        <v/>
      </c>
    </row>
    <row r="820">
      <c r="A820" s="5" t="inlineStr">
        <is>
          <t>ANPD</t>
        </is>
      </c>
      <c r="B820" s="5" t="inlineStr">
        <is>
          <t>AIR_PRO.MC.I</t>
        </is>
      </c>
      <c r="C820" s="5" t="inlineStr">
        <is>
          <t>AIR_PRO</t>
        </is>
      </c>
      <c r="D820" s="5" t="n">
        <v>1</v>
      </c>
      <c r="E820" s="5" t="inlineStr">
        <is>
          <t>Melhoria Contínua</t>
        </is>
      </c>
      <c r="F820" s="5" t="inlineStr">
        <is>
          <t>I</t>
        </is>
      </c>
      <c r="G820" s="5" t="inlineStr">
        <is>
          <t>Há processo contínuo de avaliação e melhoria do processo de elaboração de AIR;</t>
        </is>
      </c>
      <c r="H820" s="6" t="n"/>
      <c r="I820" s="6" t="n"/>
      <c r="J820" s="6" t="n"/>
      <c r="K820" s="6" t="inlineStr">
        <is>
          <t>pendente</t>
        </is>
      </c>
      <c r="L820" s="6" t="n"/>
      <c r="M820" s="5">
        <f>IF(H820="SIM",1,0)</f>
        <v/>
      </c>
      <c r="N820" s="5">
        <f>IF(AND(H820="SIM",K820="validado",I820&lt;&gt;""),1,0)</f>
        <v/>
      </c>
    </row>
    <row r="821">
      <c r="A821" s="5" t="inlineStr">
        <is>
          <t>ANPD</t>
        </is>
      </c>
      <c r="B821" s="5" t="inlineStr">
        <is>
          <t>AIR_PRO.GER.I</t>
        </is>
      </c>
      <c r="C821" s="5" t="inlineStr">
        <is>
          <t>AIR_PRO</t>
        </is>
      </c>
      <c r="D821" s="5" t="n">
        <v>1</v>
      </c>
      <c r="E821" s="5" t="inlineStr">
        <is>
          <t>Gerenciado</t>
        </is>
      </c>
      <c r="F821" s="5" t="inlineStr">
        <is>
          <t>I</t>
        </is>
      </c>
      <c r="G821" s="5" t="inlineStr">
        <is>
          <t>Todas as AIRs são sempre realizadas conforme manual ou ato normativo interno e publicadas e acessíveis ao público na internet;</t>
        </is>
      </c>
      <c r="H821" s="6" t="n"/>
      <c r="I821" s="6" t="n"/>
      <c r="J821" s="6" t="n"/>
      <c r="K821" s="6" t="inlineStr">
        <is>
          <t>pendente</t>
        </is>
      </c>
      <c r="L821" s="6" t="n"/>
      <c r="M821" s="5">
        <f>IF(H821="SIM",1,0)</f>
        <v/>
      </c>
      <c r="N821" s="5">
        <f>IF(AND(H821="SIM",K821="validado",I821&lt;&gt;""),1,0)</f>
        <v/>
      </c>
    </row>
    <row r="822">
      <c r="A822" s="5" t="inlineStr">
        <is>
          <t>ANPD</t>
        </is>
      </c>
      <c r="B822" s="5" t="inlineStr">
        <is>
          <t>AIR_PRO.INI.I</t>
        </is>
      </c>
      <c r="C822" s="5" t="inlineStr">
        <is>
          <t>AIR_PRO</t>
        </is>
      </c>
      <c r="D822" s="5" t="n">
        <v>1</v>
      </c>
      <c r="E822" s="5" t="inlineStr">
        <is>
          <t>Inicial</t>
        </is>
      </c>
      <c r="F822" s="5" t="inlineStr">
        <is>
          <t>I</t>
        </is>
      </c>
      <c r="G822" s="5" t="inlineStr">
        <is>
          <t>AIR é sempre realizada e a dispensa justificada, conforme critérios objetivos estabelecidos, conforme Decreto nº 10.411, de 2020;</t>
        </is>
      </c>
      <c r="H822" s="6" t="n"/>
      <c r="I822" s="6" t="n"/>
      <c r="J822" s="6" t="n"/>
      <c r="K822" s="6" t="inlineStr">
        <is>
          <t>pendente</t>
        </is>
      </c>
      <c r="L822" s="6" t="n"/>
      <c r="M822" s="5">
        <f>IF(H822="SIM",1,0)</f>
        <v/>
      </c>
      <c r="N822" s="5">
        <f>IF(AND(H822="SIM",K822="validado",I822&lt;&gt;""),1,0)</f>
        <v/>
      </c>
    </row>
    <row r="823">
      <c r="A823" s="5" t="inlineStr">
        <is>
          <t>ANPD</t>
        </is>
      </c>
      <c r="B823" s="5" t="inlineStr">
        <is>
          <t>AIR_PRO.MC.II</t>
        </is>
      </c>
      <c r="C823" s="5" t="inlineStr">
        <is>
          <t>AIR_PRO</t>
        </is>
      </c>
      <c r="D823" s="5" t="n">
        <v>1</v>
      </c>
      <c r="E823" s="5" t="inlineStr">
        <is>
          <t>Melhoria Contínua</t>
        </is>
      </c>
      <c r="F823" s="5" t="inlineStr">
        <is>
          <t>II</t>
        </is>
      </c>
      <c r="G823" s="5" t="inlineStr">
        <is>
          <t>Existência de instrumento de avaliação de qualidade das AIRs realizadas;</t>
        </is>
      </c>
      <c r="H823" s="6" t="n"/>
      <c r="I823" s="6" t="n"/>
      <c r="J823" s="6" t="n"/>
      <c r="K823" s="6" t="inlineStr">
        <is>
          <t>pendente</t>
        </is>
      </c>
      <c r="L823" s="6" t="n"/>
      <c r="M823" s="5">
        <f>IF(H823="SIM",1,0)</f>
        <v/>
      </c>
      <c r="N823" s="5">
        <f>IF(AND(H823="SIM",K823="validado",I823&lt;&gt;""),1,0)</f>
        <v/>
      </c>
    </row>
    <row r="824">
      <c r="A824" s="5" t="inlineStr">
        <is>
          <t>ANPD</t>
        </is>
      </c>
      <c r="B824" s="5" t="inlineStr">
        <is>
          <t>AIR_PRO.GER.II</t>
        </is>
      </c>
      <c r="C824" s="5" t="inlineStr">
        <is>
          <t>AIR_PRO</t>
        </is>
      </c>
      <c r="D824" s="5" t="n">
        <v>1</v>
      </c>
      <c r="E824" s="5" t="inlineStr">
        <is>
          <t>Gerenciado</t>
        </is>
      </c>
      <c r="F824" s="5" t="inlineStr">
        <is>
          <t>II</t>
        </is>
      </c>
      <c r="G824" s="5" t="inlineStr">
        <is>
          <t>O processo de elaboração de AIR está mapeado na instituição;</t>
        </is>
      </c>
      <c r="H824" s="6" t="n"/>
      <c r="I824" s="6" t="n"/>
      <c r="J824" s="6" t="n"/>
      <c r="K824" s="6" t="inlineStr">
        <is>
          <t>pendente</t>
        </is>
      </c>
      <c r="L824" s="6" t="n"/>
      <c r="M824" s="5">
        <f>IF(H824="SIM",1,0)</f>
        <v/>
      </c>
      <c r="N824" s="5">
        <f>IF(AND(H824="SIM",K824="validado",I824&lt;&gt;""),1,0)</f>
        <v/>
      </c>
    </row>
    <row r="825">
      <c r="A825" s="5" t="inlineStr">
        <is>
          <t>ANPD</t>
        </is>
      </c>
      <c r="B825" s="5" t="inlineStr">
        <is>
          <t>AIR_PRO.INI.II</t>
        </is>
      </c>
      <c r="C825" s="5" t="inlineStr">
        <is>
          <t>AIR_PRO</t>
        </is>
      </c>
      <c r="D825" s="5" t="n">
        <v>1</v>
      </c>
      <c r="E825" s="5" t="inlineStr">
        <is>
          <t>Inicial</t>
        </is>
      </c>
      <c r="F825" s="5" t="inlineStr">
        <is>
          <t>II</t>
        </is>
      </c>
      <c r="G825" s="5" t="inlineStr">
        <is>
          <t>Todas as AIRs são publicadas e acessíveis ao público na internet;</t>
        </is>
      </c>
      <c r="H825" s="6" t="n"/>
      <c r="I825" s="6" t="n"/>
      <c r="J825" s="6" t="n"/>
      <c r="K825" s="6" t="inlineStr">
        <is>
          <t>pendente</t>
        </is>
      </c>
      <c r="L825" s="6" t="n"/>
      <c r="M825" s="5">
        <f>IF(H825="SIM",1,0)</f>
        <v/>
      </c>
      <c r="N825" s="5">
        <f>IF(AND(H825="SIM",K825="validado",I825&lt;&gt;""),1,0)</f>
        <v/>
      </c>
    </row>
    <row r="826">
      <c r="A826" s="5" t="inlineStr">
        <is>
          <t>ANPD</t>
        </is>
      </c>
      <c r="B826" s="5" t="inlineStr">
        <is>
          <t>AIR_PRO.MC.III</t>
        </is>
      </c>
      <c r="C826" s="5" t="inlineStr">
        <is>
          <t>AIR_PRO</t>
        </is>
      </c>
      <c r="D826" s="5" t="n">
        <v>1</v>
      </c>
      <c r="E826" s="5" t="inlineStr">
        <is>
          <t>Melhoria Contínua</t>
        </is>
      </c>
      <c r="F826" s="5" t="inlineStr">
        <is>
          <t>III</t>
        </is>
      </c>
      <c r="G826" s="5" t="inlineStr">
        <is>
          <t>As AIRs de alto impacto/alta complexidade são submetidas à participação social prévia e posterior.</t>
        </is>
      </c>
      <c r="H826" s="6" t="n"/>
      <c r="I826" s="6" t="n"/>
      <c r="J826" s="6" t="n"/>
      <c r="K826" s="6" t="inlineStr">
        <is>
          <t>pendente</t>
        </is>
      </c>
      <c r="L826" s="6" t="n"/>
      <c r="M826" s="5">
        <f>IF(H826="SIM",1,0)</f>
        <v/>
      </c>
      <c r="N826" s="5">
        <f>IF(AND(H826="SIM",K826="validado",I826&lt;&gt;""),1,0)</f>
        <v/>
      </c>
    </row>
    <row r="827">
      <c r="A827" s="5" t="inlineStr">
        <is>
          <t>ANPD</t>
        </is>
      </c>
      <c r="B827" s="5" t="inlineStr">
        <is>
          <t>AIR_PRO.GER.III</t>
        </is>
      </c>
      <c r="C827" s="5" t="inlineStr">
        <is>
          <t>AIR_PRO</t>
        </is>
      </c>
      <c r="D827" s="5" t="n">
        <v>1</v>
      </c>
      <c r="E827" s="5" t="inlineStr">
        <is>
          <t>Gerenciado</t>
        </is>
      </c>
      <c r="F827" s="5" t="inlineStr">
        <is>
          <t>III</t>
        </is>
      </c>
      <c r="G827" s="5" t="inlineStr">
        <is>
          <t>As AIRs são objeto de participação social posterior, conforme decisão técnica.</t>
        </is>
      </c>
      <c r="H827" s="6" t="n"/>
      <c r="I827" s="6" t="n"/>
      <c r="J827" s="6" t="n"/>
      <c r="K827" s="6" t="inlineStr">
        <is>
          <t>pendente</t>
        </is>
      </c>
      <c r="L827" s="6" t="n"/>
      <c r="M827" s="5">
        <f>IF(H827="SIM",1,0)</f>
        <v/>
      </c>
      <c r="N827" s="5">
        <f>IF(AND(H827="SIM",K827="validado",I827&lt;&gt;""),1,0)</f>
        <v/>
      </c>
    </row>
    <row r="828">
      <c r="A828" s="5" t="inlineStr">
        <is>
          <t>ANPD</t>
        </is>
      </c>
      <c r="B828" s="5" t="inlineStr">
        <is>
          <t>AIR_PRO.INI.III</t>
        </is>
      </c>
      <c r="C828" s="5" t="inlineStr">
        <is>
          <t>AIR_PRO</t>
        </is>
      </c>
      <c r="D828" s="5" t="n">
        <v>1</v>
      </c>
      <c r="E828" s="5" t="inlineStr">
        <is>
          <t>Inicial</t>
        </is>
      </c>
      <c r="F828" s="5" t="inlineStr">
        <is>
          <t>III</t>
        </is>
      </c>
      <c r="G828" s="5" t="inlineStr">
        <is>
          <t>Participação Social é realizada, conforme Decreto nº 10.411, de 2020.</t>
        </is>
      </c>
      <c r="H828" s="6" t="n"/>
      <c r="I828" s="6" t="n"/>
      <c r="J828" s="6" t="n"/>
      <c r="K828" s="6" t="inlineStr">
        <is>
          <t>pendente</t>
        </is>
      </c>
      <c r="L828" s="6" t="n"/>
      <c r="M828" s="5">
        <f>IF(H828="SIM",1,0)</f>
        <v/>
      </c>
      <c r="N828" s="5">
        <f>IF(AND(H828="SIM",K828="validado",I828&lt;&gt;""),1,0)</f>
        <v/>
      </c>
    </row>
    <row r="829">
      <c r="A829" s="5" t="inlineStr">
        <is>
          <t>ANPD</t>
        </is>
      </c>
      <c r="B829" s="5" t="inlineStr">
        <is>
          <t>PS.MC.I</t>
        </is>
      </c>
      <c r="C829" s="5" t="inlineStr">
        <is>
          <t>PS</t>
        </is>
      </c>
      <c r="D829" s="5" t="n">
        <v>2</v>
      </c>
      <c r="E829" s="5" t="inlineStr">
        <is>
          <t>Melhoria Contínua</t>
        </is>
      </c>
      <c r="F829" s="5" t="inlineStr">
        <is>
          <t>I</t>
        </is>
      </c>
      <c r="G829" s="5" t="inlineStr">
        <is>
          <t>A instituição realiza eventos de participação social para a construção do conhecimento sobre dada matéria e para o desenvolvimento de propostas;</t>
        </is>
      </c>
      <c r="H829" s="6" t="n"/>
      <c r="I829" s="6" t="n"/>
      <c r="J829" s="6" t="n"/>
      <c r="K829" s="6" t="inlineStr">
        <is>
          <t>pendente</t>
        </is>
      </c>
      <c r="L829" s="6" t="n"/>
      <c r="M829" s="5">
        <f>IF(H829="SIM",1,0)</f>
        <v/>
      </c>
      <c r="N829" s="5">
        <f>IF(AND(H829="SIM",K829="validado",I829&lt;&gt;""),1,0)</f>
        <v/>
      </c>
    </row>
    <row r="830">
      <c r="A830" s="5" t="inlineStr">
        <is>
          <t>ANPD</t>
        </is>
      </c>
      <c r="B830" s="5" t="inlineStr">
        <is>
          <t>PS.GER.I</t>
        </is>
      </c>
      <c r="C830" s="5" t="inlineStr">
        <is>
          <t>PS</t>
        </is>
      </c>
      <c r="D830" s="5" t="n">
        <v>2</v>
      </c>
      <c r="E830" s="5" t="inlineStr">
        <is>
          <t>Gerenciado</t>
        </is>
      </c>
      <c r="F830" s="5" t="inlineStr">
        <is>
          <t>I</t>
        </is>
      </c>
      <c r="G830" s="5" t="inlineStr">
        <is>
          <t>Existência de manual ou ato normativo interno instituindo metodologia e procedimento de participação social;</t>
        </is>
      </c>
      <c r="H830" s="6" t="n"/>
      <c r="I830" s="6" t="n"/>
      <c r="J830" s="6" t="n"/>
      <c r="K830" s="6" t="inlineStr">
        <is>
          <t>pendente</t>
        </is>
      </c>
      <c r="L830" s="6" t="n"/>
      <c r="M830" s="5">
        <f>IF(H830="SIM",1,0)</f>
        <v/>
      </c>
      <c r="N830" s="5">
        <f>IF(AND(H830="SIM",K830="validado",I830&lt;&gt;""),1,0)</f>
        <v/>
      </c>
    </row>
    <row r="831">
      <c r="A831" s="5" t="inlineStr">
        <is>
          <t>ANPD</t>
        </is>
      </c>
      <c r="B831" s="5" t="inlineStr">
        <is>
          <t>PS.INI.I</t>
        </is>
      </c>
      <c r="C831" s="5" t="inlineStr">
        <is>
          <t>PS</t>
        </is>
      </c>
      <c r="D831" s="5" t="n">
        <v>2</v>
      </c>
      <c r="E831" s="5" t="inlineStr">
        <is>
          <t>Inicial</t>
        </is>
      </c>
      <c r="F831" s="5" t="inlineStr">
        <is>
          <t>I</t>
        </is>
      </c>
      <c r="G831" s="5" t="inlineStr">
        <is>
          <t>existe dispositivo interno orientando a participação social conforme disposto na legislação específica vigente, tais como as Leis nº 13.848, de 25 de junho de 2019 e nº 13.874, de 20 de setembro de 2019 e o Decreto nº 10.411, de 2020.</t>
        </is>
      </c>
      <c r="H831" s="6" t="n"/>
      <c r="I831" s="6" t="n"/>
      <c r="J831" s="6" t="n"/>
      <c r="K831" s="6" t="inlineStr">
        <is>
          <t>pendente</t>
        </is>
      </c>
      <c r="L831" s="6" t="n"/>
      <c r="M831" s="5">
        <f>IF(H831="SIM",1,0)</f>
        <v/>
      </c>
      <c r="N831" s="5">
        <f>IF(AND(H831="SIM",K831="validado",I831&lt;&gt;""),1,0)</f>
        <v/>
      </c>
    </row>
    <row r="832">
      <c r="A832" s="5" t="inlineStr">
        <is>
          <t>ANPD</t>
        </is>
      </c>
      <c r="B832" s="5" t="inlineStr">
        <is>
          <t>PS.MC.II</t>
        </is>
      </c>
      <c r="C832" s="5" t="inlineStr">
        <is>
          <t>PS</t>
        </is>
      </c>
      <c r="D832" s="5" t="n">
        <v>2</v>
      </c>
      <c r="E832" s="5" t="inlineStr">
        <is>
          <t>Melhoria Contínua</t>
        </is>
      </c>
      <c r="F832" s="5" t="inlineStr">
        <is>
          <t>II</t>
        </is>
      </c>
      <c r="G832" s="5" t="inlineStr">
        <is>
          <t>Relatórios da Ouvidoria, relatórios do portal consumidor.gov, pesquisas de satisfação e dados de atendimento são utilizados para subsidiar as decisões regulatórias;</t>
        </is>
      </c>
      <c r="H832" s="6" t="n"/>
      <c r="I832" s="6" t="n"/>
      <c r="J832" s="6" t="n"/>
      <c r="K832" s="6" t="inlineStr">
        <is>
          <t>pendente</t>
        </is>
      </c>
      <c r="L832" s="6" t="n"/>
      <c r="M832" s="5">
        <f>IF(H832="SIM",1,0)</f>
        <v/>
      </c>
      <c r="N832" s="5">
        <f>IF(AND(H832="SIM",K832="validado",I832&lt;&gt;""),1,0)</f>
        <v/>
      </c>
    </row>
    <row r="833">
      <c r="A833" s="5" t="inlineStr">
        <is>
          <t>ANPD</t>
        </is>
      </c>
      <c r="B833" s="5" t="inlineStr">
        <is>
          <t>PS.GER.II</t>
        </is>
      </c>
      <c r="C833" s="5" t="inlineStr">
        <is>
          <t>PS</t>
        </is>
      </c>
      <c r="D833" s="5" t="n">
        <v>2</v>
      </c>
      <c r="E833" s="5" t="inlineStr">
        <is>
          <t>Gerenciado</t>
        </is>
      </c>
      <c r="F833" s="5" t="inlineStr">
        <is>
          <t>II</t>
        </is>
      </c>
      <c r="G833" s="5" t="inlineStr">
        <is>
          <t>Os relatórios da Ouvidoria e os relatórios do portal consumidor.gov são utilizados para subsidiar as decisões regulatórias;</t>
        </is>
      </c>
      <c r="H833" s="6" t="n"/>
      <c r="I833" s="6" t="n"/>
      <c r="J833" s="6" t="n"/>
      <c r="K833" s="6" t="inlineStr">
        <is>
          <t>pendente</t>
        </is>
      </c>
      <c r="L833" s="6" t="n"/>
      <c r="M833" s="5">
        <f>IF(H833="SIM",1,0)</f>
        <v/>
      </c>
      <c r="N833" s="5">
        <f>IF(AND(H833="SIM",K833="validado",I833&lt;&gt;""),1,0)</f>
        <v/>
      </c>
    </row>
    <row r="834">
      <c r="A834" s="5" t="inlineStr">
        <is>
          <t>ANPD</t>
        </is>
      </c>
      <c r="B834" s="5" t="inlineStr">
        <is>
          <t>PS.MC.III</t>
        </is>
      </c>
      <c r="C834" s="5" t="inlineStr">
        <is>
          <t>PS</t>
        </is>
      </c>
      <c r="D834" s="5" t="n">
        <v>2</v>
      </c>
      <c r="E834" s="5" t="inlineStr">
        <is>
          <t>Melhoria Contínua</t>
        </is>
      </c>
      <c r="F834" s="5" t="inlineStr">
        <is>
          <t>III</t>
        </is>
      </c>
      <c r="G834" s="5" t="inlineStr">
        <is>
          <t>Todos os instrumentos, processos e relatórios contendo as contribuições analisadas são divulgados no portal do órgão e/ou plataforma Participa Mais Brasil;</t>
        </is>
      </c>
      <c r="H834" s="6" t="n"/>
      <c r="I834" s="6" t="n"/>
      <c r="J834" s="6" t="n"/>
      <c r="K834" s="6" t="inlineStr">
        <is>
          <t>pendente</t>
        </is>
      </c>
      <c r="L834" s="6" t="n"/>
      <c r="M834" s="5">
        <f>IF(H834="SIM",1,0)</f>
        <v/>
      </c>
      <c r="N834" s="5">
        <f>IF(AND(H834="SIM",K834="validado",I834&lt;&gt;""),1,0)</f>
        <v/>
      </c>
    </row>
    <row r="835">
      <c r="A835" s="5" t="inlineStr">
        <is>
          <t>ANPD</t>
        </is>
      </c>
      <c r="B835" s="5" t="inlineStr">
        <is>
          <t>PS.GER.III</t>
        </is>
      </c>
      <c r="C835" s="5" t="inlineStr">
        <is>
          <t>PS</t>
        </is>
      </c>
      <c r="D835" s="5" t="n">
        <v>2</v>
      </c>
      <c r="E835" s="5" t="inlineStr">
        <is>
          <t>Gerenciado</t>
        </is>
      </c>
      <c r="F835" s="5" t="inlineStr">
        <is>
          <t>III</t>
        </is>
      </c>
      <c r="G835" s="5" t="inlineStr">
        <is>
          <t>Todas as informações relativas aos processos em andamento são divulgadas no portal do órgão e/ou plataforma Participa Mais Brasil;</t>
        </is>
      </c>
      <c r="H835" s="6" t="n"/>
      <c r="I835" s="6" t="n"/>
      <c r="J835" s="6" t="n"/>
      <c r="K835" s="6" t="inlineStr">
        <is>
          <t>pendente</t>
        </is>
      </c>
      <c r="L835" s="6" t="n"/>
      <c r="M835" s="5">
        <f>IF(H835="SIM",1,0)</f>
        <v/>
      </c>
      <c r="N835" s="5">
        <f>IF(AND(H835="SIM",K835="validado",I835&lt;&gt;""),1,0)</f>
        <v/>
      </c>
    </row>
    <row r="836">
      <c r="A836" s="5" t="inlineStr">
        <is>
          <t>ANPD</t>
        </is>
      </c>
      <c r="B836" s="5" t="inlineStr">
        <is>
          <t>PS.MC.IV</t>
        </is>
      </c>
      <c r="C836" s="5" t="inlineStr">
        <is>
          <t>PS</t>
        </is>
      </c>
      <c r="D836" s="5" t="n">
        <v>2</v>
      </c>
      <c r="E836" s="5" t="inlineStr">
        <is>
          <t>Melhoria Contínua</t>
        </is>
      </c>
      <c r="F836" s="5" t="inlineStr">
        <is>
          <t>IV</t>
        </is>
      </c>
      <c r="G836" s="5" t="inlineStr">
        <is>
          <t>A efetividade do evento de participação social é mensurada, conforme metodologia instituída.</t>
        </is>
      </c>
      <c r="H836" s="6" t="n"/>
      <c r="I836" s="6" t="n"/>
      <c r="J836" s="6" t="n"/>
      <c r="K836" s="6" t="inlineStr">
        <is>
          <t>pendente</t>
        </is>
      </c>
      <c r="L836" s="6" t="n"/>
      <c r="M836" s="5">
        <f>IF(H836="SIM",1,0)</f>
        <v/>
      </c>
      <c r="N836" s="5">
        <f>IF(AND(H836="SIM",K836="validado",I836&lt;&gt;""),1,0)</f>
        <v/>
      </c>
    </row>
    <row r="837">
      <c r="A837" s="5" t="inlineStr">
        <is>
          <t>ANPD</t>
        </is>
      </c>
      <c r="B837" s="5" t="inlineStr">
        <is>
          <t>PS.GER.IV</t>
        </is>
      </c>
      <c r="C837" s="5" t="inlineStr">
        <is>
          <t>PS</t>
        </is>
      </c>
      <c r="D837" s="5" t="n">
        <v>2</v>
      </c>
      <c r="E837" s="5" t="inlineStr">
        <is>
          <t>Gerenciado</t>
        </is>
      </c>
      <c r="F837" s="5" t="inlineStr">
        <is>
          <t>IV</t>
        </is>
      </c>
      <c r="G837" s="5" t="inlineStr">
        <is>
          <t>A efetividade do evento de participação social é avaliada de forma intuitiva.</t>
        </is>
      </c>
      <c r="H837" s="6" t="n"/>
      <c r="I837" s="6" t="n"/>
      <c r="J837" s="6" t="n"/>
      <c r="K837" s="6" t="inlineStr">
        <is>
          <t>pendente</t>
        </is>
      </c>
      <c r="L837" s="6" t="n"/>
      <c r="M837" s="5">
        <f>IF(H837="SIM",1,0)</f>
        <v/>
      </c>
      <c r="N837" s="5">
        <f>IF(AND(H837="SIM",K837="validado",I837&lt;&gt;""),1,0)</f>
        <v/>
      </c>
    </row>
    <row r="838">
      <c r="A838" s="5" t="inlineStr">
        <is>
          <t>ANPD</t>
        </is>
      </c>
      <c r="B838" s="5" t="inlineStr">
        <is>
          <t>EST.MC.I</t>
        </is>
      </c>
      <c r="C838" s="5" t="inlineStr">
        <is>
          <t>EST</t>
        </is>
      </c>
      <c r="D838" s="5" t="n">
        <v>3</v>
      </c>
      <c r="E838" s="5" t="inlineStr">
        <is>
          <t>Melhoria Contínua</t>
        </is>
      </c>
      <c r="F838" s="5" t="inlineStr">
        <is>
          <t>I</t>
        </is>
      </c>
      <c r="G838" s="5" t="inlineStr">
        <is>
          <t>As alterações do estoque regulatório da instituição são priorizadas por meio de uma agenda regulatória;</t>
        </is>
      </c>
      <c r="H838" s="6" t="n"/>
      <c r="I838" s="6" t="n"/>
      <c r="J838" s="6" t="n"/>
      <c r="K838" s="6" t="inlineStr">
        <is>
          <t>pendente</t>
        </is>
      </c>
      <c r="L838" s="6" t="n"/>
      <c r="M838" s="5">
        <f>IF(H838="SIM",1,0)</f>
        <v/>
      </c>
      <c r="N838" s="5">
        <f>IF(AND(H838="SIM",K838="validado",I838&lt;&gt;""),1,0)</f>
        <v/>
      </c>
    </row>
    <row r="839">
      <c r="A839" s="5" t="inlineStr">
        <is>
          <t>ANPD</t>
        </is>
      </c>
      <c r="B839" s="5" t="inlineStr">
        <is>
          <t>EST.GER.I</t>
        </is>
      </c>
      <c r="C839" s="5" t="inlineStr">
        <is>
          <t>EST</t>
        </is>
      </c>
      <c r="D839" s="5" t="n">
        <v>3</v>
      </c>
      <c r="E839" s="5" t="inlineStr">
        <is>
          <t>Gerenciado</t>
        </is>
      </c>
      <c r="F839" s="5" t="inlineStr">
        <is>
          <t>I</t>
        </is>
      </c>
      <c r="G839" s="5" t="inlineStr">
        <is>
          <t>Normas publicadas e disponíveis de maneira sistematizada para consulta pública no portal gov.br;</t>
        </is>
      </c>
      <c r="H839" s="6" t="n"/>
      <c r="I839" s="6" t="n"/>
      <c r="J839" s="6" t="n"/>
      <c r="K839" s="6" t="inlineStr">
        <is>
          <t>pendente</t>
        </is>
      </c>
      <c r="L839" s="6" t="n"/>
      <c r="M839" s="5">
        <f>IF(H839="SIM",1,0)</f>
        <v/>
      </c>
      <c r="N839" s="5">
        <f>IF(AND(H839="SIM",K839="validado",I839&lt;&gt;""),1,0)</f>
        <v/>
      </c>
    </row>
    <row r="840">
      <c r="A840" s="5" t="inlineStr">
        <is>
          <t>ANPD</t>
        </is>
      </c>
      <c r="B840" s="5" t="inlineStr">
        <is>
          <t>EST.INI.I</t>
        </is>
      </c>
      <c r="C840" s="5" t="inlineStr">
        <is>
          <t>EST</t>
        </is>
      </c>
      <c r="D840" s="5" t="n">
        <v>3</v>
      </c>
      <c r="E840" s="5" t="inlineStr">
        <is>
          <t>Inicial</t>
        </is>
      </c>
      <c r="F840" s="5" t="inlineStr">
        <is>
          <t>I</t>
        </is>
      </c>
      <c r="G840" s="5" t="inlineStr">
        <is>
          <t>Normas publicadas e disponíveis de maneira sistematizada para consulta pública na internet;</t>
        </is>
      </c>
      <c r="H840" s="6" t="n"/>
      <c r="I840" s="6" t="n"/>
      <c r="J840" s="6" t="n"/>
      <c r="K840" s="6" t="inlineStr">
        <is>
          <t>pendente</t>
        </is>
      </c>
      <c r="L840" s="6" t="n"/>
      <c r="M840" s="5">
        <f>IF(H840="SIM",1,0)</f>
        <v/>
      </c>
      <c r="N840" s="5">
        <f>IF(AND(H840="SIM",K840="validado",I840&lt;&gt;""),1,0)</f>
        <v/>
      </c>
    </row>
    <row r="841">
      <c r="A841" s="5" t="inlineStr">
        <is>
          <t>ANPD</t>
        </is>
      </c>
      <c r="B841" s="5" t="inlineStr">
        <is>
          <t>EST.MC.II</t>
        </is>
      </c>
      <c r="C841" s="5" t="inlineStr">
        <is>
          <t>EST</t>
        </is>
      </c>
      <c r="D841" s="5" t="n">
        <v>3</v>
      </c>
      <c r="E841" s="5" t="inlineStr">
        <is>
          <t>Melhoria Contínua</t>
        </is>
      </c>
      <c r="F841" s="5" t="inlineStr">
        <is>
          <t>II</t>
        </is>
      </c>
      <c r="G841" s="5" t="inlineStr">
        <is>
          <t>Todas as novas normas passam pela análise de consolidação e compatibilização de normas vigentes.</t>
        </is>
      </c>
      <c r="H841" s="6" t="n"/>
      <c r="I841" s="6" t="n"/>
      <c r="J841" s="6" t="n"/>
      <c r="K841" s="6" t="inlineStr">
        <is>
          <t>pendente</t>
        </is>
      </c>
      <c r="L841" s="6" t="n"/>
      <c r="M841" s="5">
        <f>IF(H841="SIM",1,0)</f>
        <v/>
      </c>
      <c r="N841" s="5">
        <f>IF(AND(H841="SIM",K841="validado",I841&lt;&gt;""),1,0)</f>
        <v/>
      </c>
    </row>
    <row r="842">
      <c r="A842" s="5" t="inlineStr">
        <is>
          <t>ANPD</t>
        </is>
      </c>
      <c r="B842" s="5" t="inlineStr">
        <is>
          <t>EST.GER.II</t>
        </is>
      </c>
      <c r="C842" s="5" t="inlineStr">
        <is>
          <t>EST</t>
        </is>
      </c>
      <c r="D842" s="5" t="n">
        <v>3</v>
      </c>
      <c r="E842" s="5" t="inlineStr">
        <is>
          <t>Gerenciado</t>
        </is>
      </c>
      <c r="F842" s="5" t="inlineStr">
        <is>
          <t>II</t>
        </is>
      </c>
      <c r="G842" s="5" t="inlineStr">
        <is>
          <t>Foi realizado levantamento quantitativo de todas as normas do órgão, bem como análise qualitativa, indexação e classificação por tema;</t>
        </is>
      </c>
      <c r="H842" s="6" t="n"/>
      <c r="I842" s="6" t="n"/>
      <c r="J842" s="6" t="n"/>
      <c r="K842" s="6" t="inlineStr">
        <is>
          <t>pendente</t>
        </is>
      </c>
      <c r="L842" s="6" t="n"/>
      <c r="M842" s="5">
        <f>IF(H842="SIM",1,0)</f>
        <v/>
      </c>
      <c r="N842" s="5">
        <f>IF(AND(H842="SIM",K842="validado",I842&lt;&gt;""),1,0)</f>
        <v/>
      </c>
    </row>
    <row r="843">
      <c r="A843" s="5" t="inlineStr">
        <is>
          <t>ANPD</t>
        </is>
      </c>
      <c r="B843" s="5" t="inlineStr">
        <is>
          <t>EST.INI.II</t>
        </is>
      </c>
      <c r="C843" s="5" t="inlineStr">
        <is>
          <t>EST</t>
        </is>
      </c>
      <c r="D843" s="5" t="n">
        <v>3</v>
      </c>
      <c r="E843" s="5" t="inlineStr">
        <is>
          <t>Inicial</t>
        </is>
      </c>
      <c r="F843" s="5" t="inlineStr">
        <is>
          <t>II</t>
        </is>
      </c>
      <c r="G843" s="5" t="inlineStr">
        <is>
          <t>Foi realizado levantamento quantitativo de todas as normas do órgão.</t>
        </is>
      </c>
      <c r="H843" s="6" t="n"/>
      <c r="I843" s="6" t="n"/>
      <c r="J843" s="6" t="n"/>
      <c r="K843" s="6" t="inlineStr">
        <is>
          <t>pendente</t>
        </is>
      </c>
      <c r="L843" s="6" t="n"/>
      <c r="M843" s="5">
        <f>IF(H843="SIM",1,0)</f>
        <v/>
      </c>
      <c r="N843" s="5">
        <f>IF(AND(H843="SIM",K843="validado",I843&lt;&gt;""),1,0)</f>
        <v/>
      </c>
    </row>
    <row r="844">
      <c r="A844" s="5" t="inlineStr">
        <is>
          <t>ANPD</t>
        </is>
      </c>
      <c r="B844" s="5" t="inlineStr">
        <is>
          <t>EST.GER.III</t>
        </is>
      </c>
      <c r="C844" s="5" t="inlineStr">
        <is>
          <t>EST</t>
        </is>
      </c>
      <c r="D844" s="5" t="n">
        <v>3</v>
      </c>
      <c r="E844" s="5" t="inlineStr">
        <is>
          <t>Gerenciado</t>
        </is>
      </c>
      <c r="F844" s="5" t="inlineStr">
        <is>
          <t>III</t>
        </is>
      </c>
      <c r="G844" s="5" t="inlineStr">
        <is>
          <t>Para toda a nova norma de alto impacto/alta complexidade foi estimado o fardo regulatório; e</t>
        </is>
      </c>
      <c r="H844" s="6" t="n"/>
      <c r="I844" s="6" t="n"/>
      <c r="J844" s="6" t="n"/>
      <c r="K844" s="6" t="inlineStr">
        <is>
          <t>pendente</t>
        </is>
      </c>
      <c r="L844" s="6" t="n"/>
      <c r="M844" s="5">
        <f>IF(H844="SIM",1,0)</f>
        <v/>
      </c>
      <c r="N844" s="5">
        <f>IF(AND(H844="SIM",K844="validado",I844&lt;&gt;""),1,0)</f>
        <v/>
      </c>
    </row>
    <row r="845">
      <c r="A845" s="5" t="inlineStr">
        <is>
          <t>ANPD</t>
        </is>
      </c>
      <c r="B845" s="5" t="inlineStr">
        <is>
          <t>EST.GER.IV</t>
        </is>
      </c>
      <c r="C845" s="5" t="inlineStr">
        <is>
          <t>EST</t>
        </is>
      </c>
      <c r="D845" s="5" t="n">
        <v>3</v>
      </c>
      <c r="E845" s="5" t="inlineStr">
        <is>
          <t>Gerenciado</t>
        </is>
      </c>
      <c r="F845" s="5" t="inlineStr">
        <is>
          <t>IV</t>
        </is>
      </c>
      <c r="G845" s="5" t="inlineStr">
        <is>
          <t>Existe manutenção da consolidação normativa, conforme art. 19 do Decreto nº 10.139, de 28 de novembro de 2019.</t>
        </is>
      </c>
      <c r="H845" s="6" t="n"/>
      <c r="I845" s="6" t="n"/>
      <c r="J845" s="6" t="n"/>
      <c r="K845" s="6" t="inlineStr">
        <is>
          <t>pendente</t>
        </is>
      </c>
      <c r="L845" s="6" t="n"/>
      <c r="M845" s="5">
        <f>IF(H845="SIM",1,0)</f>
        <v/>
      </c>
      <c r="N845" s="5">
        <f>IF(AND(H845="SIM",K845="validado",I845&lt;&gt;""),1,0)</f>
        <v/>
      </c>
    </row>
    <row r="846">
      <c r="A846" s="5" t="inlineStr">
        <is>
          <t>ANPD</t>
        </is>
      </c>
      <c r="B846" s="5" t="inlineStr">
        <is>
          <t>AGE.MC.I</t>
        </is>
      </c>
      <c r="C846" s="5" t="inlineStr">
        <is>
          <t>AGE</t>
        </is>
      </c>
      <c r="D846" s="5" t="n">
        <v>4</v>
      </c>
      <c r="E846" s="5" t="inlineStr">
        <is>
          <t>Melhoria Contínua</t>
        </is>
      </c>
      <c r="F846" s="5" t="inlineStr">
        <is>
          <t>I</t>
        </is>
      </c>
      <c r="G846" s="5" t="inlineStr">
        <is>
          <t>A elaboração da agenda regulatória tem ampla participação social, a qual é analisada, respondida e divulgada;</t>
        </is>
      </c>
      <c r="H846" s="6" t="n"/>
      <c r="I846" s="6" t="n"/>
      <c r="J846" s="6" t="n"/>
      <c r="K846" s="6" t="inlineStr">
        <is>
          <t>pendente</t>
        </is>
      </c>
      <c r="L846" s="6" t="n"/>
      <c r="M846" s="5">
        <f>IF(H846="SIM",1,0)</f>
        <v/>
      </c>
      <c r="N846" s="5">
        <f>IF(AND(H846="SIM",K846="validado",I846&lt;&gt;""),1,0)</f>
        <v/>
      </c>
    </row>
    <row r="847">
      <c r="A847" s="5" t="inlineStr">
        <is>
          <t>ANPD</t>
        </is>
      </c>
      <c r="B847" s="5" t="inlineStr">
        <is>
          <t>AGE.GER.I</t>
        </is>
      </c>
      <c r="C847" s="5" t="inlineStr">
        <is>
          <t>AGE</t>
        </is>
      </c>
      <c r="D847" s="5" t="n">
        <v>4</v>
      </c>
      <c r="E847" s="5" t="inlineStr">
        <is>
          <t>Gerenciado</t>
        </is>
      </c>
      <c r="F847" s="5" t="inlineStr">
        <is>
          <t>I</t>
        </is>
      </c>
      <c r="G847" s="5" t="inlineStr">
        <is>
          <t>A elaboração da agenda regulatória tem ampla participação social, a qual é analisada, porém não respondida e divulgada;</t>
        </is>
      </c>
      <c r="H847" s="6" t="n"/>
      <c r="I847" s="6" t="n"/>
      <c r="J847" s="6" t="n"/>
      <c r="K847" s="6" t="inlineStr">
        <is>
          <t>pendente</t>
        </is>
      </c>
      <c r="L847" s="6" t="n"/>
      <c r="M847" s="5">
        <f>IF(H847="SIM",1,0)</f>
        <v/>
      </c>
      <c r="N847" s="5">
        <f>IF(AND(H847="SIM",K847="validado",I847&lt;&gt;""),1,0)</f>
        <v/>
      </c>
    </row>
    <row r="848">
      <c r="A848" s="5" t="inlineStr">
        <is>
          <t>ANPD</t>
        </is>
      </c>
      <c r="B848" s="5" t="inlineStr">
        <is>
          <t>AGE.INI.I</t>
        </is>
      </c>
      <c r="C848" s="5" t="inlineStr">
        <is>
          <t>AGE</t>
        </is>
      </c>
      <c r="D848" s="5" t="n">
        <v>4</v>
      </c>
      <c r="E848" s="5" t="inlineStr">
        <is>
          <t>Inicial</t>
        </is>
      </c>
      <c r="F848" s="5" t="inlineStr">
        <is>
          <t>I</t>
        </is>
      </c>
      <c r="G848" s="5" t="inlineStr">
        <is>
          <t>Os temas da agenda regulatória são elencados e priorizados pelos gestores da agência;</t>
        </is>
      </c>
      <c r="H848" s="6" t="n"/>
      <c r="I848" s="6" t="n"/>
      <c r="J848" s="6" t="n"/>
      <c r="K848" s="6" t="inlineStr">
        <is>
          <t>pendente</t>
        </is>
      </c>
      <c r="L848" s="6" t="n"/>
      <c r="M848" s="5">
        <f>IF(H848="SIM",1,0)</f>
        <v/>
      </c>
      <c r="N848" s="5">
        <f>IF(AND(H848="SIM",K848="validado",I848&lt;&gt;""),1,0)</f>
        <v/>
      </c>
    </row>
    <row r="849">
      <c r="A849" s="5" t="inlineStr">
        <is>
          <t>ANPD</t>
        </is>
      </c>
      <c r="B849" s="5" t="inlineStr">
        <is>
          <t>AGE.MC.II</t>
        </is>
      </c>
      <c r="C849" s="5" t="inlineStr">
        <is>
          <t>AGE</t>
        </is>
      </c>
      <c r="D849" s="5" t="n">
        <v>4</v>
      </c>
      <c r="E849" s="5" t="inlineStr">
        <is>
          <t>Melhoria Contínua</t>
        </is>
      </c>
      <c r="F849" s="5" t="inlineStr">
        <is>
          <t>II</t>
        </is>
      </c>
      <c r="G849" s="5" t="inlineStr">
        <is>
          <t>Os projetos da Agenda Regulatória estão aderentes ao planejamento estratégico vigente e estão correlacionados ao Plano de Gestão Anual;</t>
        </is>
      </c>
      <c r="H849" s="6" t="n"/>
      <c r="I849" s="6" t="n"/>
      <c r="J849" s="6" t="n"/>
      <c r="K849" s="6" t="inlineStr">
        <is>
          <t>pendente</t>
        </is>
      </c>
      <c r="L849" s="6" t="n"/>
      <c r="M849" s="5">
        <f>IF(H849="SIM",1,0)</f>
        <v/>
      </c>
      <c r="N849" s="5">
        <f>IF(AND(H849="SIM",K849="validado",I849&lt;&gt;""),1,0)</f>
        <v/>
      </c>
    </row>
    <row r="850">
      <c r="A850" s="5" t="inlineStr">
        <is>
          <t>ANPD</t>
        </is>
      </c>
      <c r="B850" s="5" t="inlineStr">
        <is>
          <t>AGE.GER.II</t>
        </is>
      </c>
      <c r="C850" s="5" t="inlineStr">
        <is>
          <t>AGE</t>
        </is>
      </c>
      <c r="D850" s="5" t="n">
        <v>4</v>
      </c>
      <c r="E850" s="5" t="inlineStr">
        <is>
          <t>Gerenciado</t>
        </is>
      </c>
      <c r="F850" s="5" t="inlineStr">
        <is>
          <t>II</t>
        </is>
      </c>
      <c r="G850" s="5" t="inlineStr">
        <is>
          <t>O Ministério Setorial é oficiado, por meio do Ministro e da Secretaria Finalística, quando da abertura do processo de participação social. O Ministério deve oficiar as agências reguladoras vinculadas, visando a integração das agendas;</t>
        </is>
      </c>
      <c r="H850" s="6" t="n"/>
      <c r="I850" s="6" t="n"/>
      <c r="J850" s="6" t="n"/>
      <c r="K850" s="6" t="inlineStr">
        <is>
          <t>pendente</t>
        </is>
      </c>
      <c r="L850" s="6" t="n"/>
      <c r="M850" s="5">
        <f>IF(H850="SIM",1,0)</f>
        <v/>
      </c>
      <c r="N850" s="5">
        <f>IF(AND(H850="SIM",K850="validado",I850&lt;&gt;""),1,0)</f>
        <v/>
      </c>
    </row>
    <row r="851">
      <c r="A851" s="5" t="inlineStr">
        <is>
          <t>ANPD</t>
        </is>
      </c>
      <c r="B851" s="5" t="inlineStr">
        <is>
          <t>AGE.INI.II</t>
        </is>
      </c>
      <c r="C851" s="5" t="inlineStr">
        <is>
          <t>AGE</t>
        </is>
      </c>
      <c r="D851" s="5" t="n">
        <v>4</v>
      </c>
      <c r="E851" s="5" t="inlineStr">
        <is>
          <t>Inicial</t>
        </is>
      </c>
      <c r="F851" s="5" t="inlineStr">
        <is>
          <t>II</t>
        </is>
      </c>
      <c r="G851" s="5" t="inlineStr">
        <is>
          <t>É avaliada a aderência da proposta de Agenda às políticas públicas.</t>
        </is>
      </c>
      <c r="H851" s="6" t="n"/>
      <c r="I851" s="6" t="n"/>
      <c r="J851" s="6" t="n"/>
      <c r="K851" s="6" t="inlineStr">
        <is>
          <t>pendente</t>
        </is>
      </c>
      <c r="L851" s="6" t="n"/>
      <c r="M851" s="5">
        <f>IF(H851="SIM",1,0)</f>
        <v/>
      </c>
      <c r="N851" s="5">
        <f>IF(AND(H851="SIM",K851="validado",I851&lt;&gt;""),1,0)</f>
        <v/>
      </c>
    </row>
    <row r="852">
      <c r="A852" s="5" t="inlineStr">
        <is>
          <t>ANPD</t>
        </is>
      </c>
      <c r="B852" s="5" t="inlineStr">
        <is>
          <t>AGE.MC.III</t>
        </is>
      </c>
      <c r="C852" s="5" t="inlineStr">
        <is>
          <t>AGE</t>
        </is>
      </c>
      <c r="D852" s="5" t="n">
        <v>4</v>
      </c>
      <c r="E852" s="5" t="inlineStr">
        <is>
          <t>Melhoria Contínua</t>
        </is>
      </c>
      <c r="F852" s="5" t="inlineStr">
        <is>
          <t>III</t>
        </is>
      </c>
      <c r="G852" s="5" t="inlineStr">
        <is>
          <t>Cumprimento de, no mínimo, 80% da Agenda Regulatória;</t>
        </is>
      </c>
      <c r="H852" s="6" t="n"/>
      <c r="I852" s="6" t="n"/>
      <c r="J852" s="6" t="n"/>
      <c r="K852" s="6" t="inlineStr">
        <is>
          <t>pendente</t>
        </is>
      </c>
      <c r="L852" s="6" t="n"/>
      <c r="M852" s="5">
        <f>IF(H852="SIM",1,0)</f>
        <v/>
      </c>
      <c r="N852" s="5">
        <f>IF(AND(H852="SIM",K852="validado",I852&lt;&gt;""),1,0)</f>
        <v/>
      </c>
    </row>
    <row r="853">
      <c r="A853" s="5" t="inlineStr">
        <is>
          <t>ANPD</t>
        </is>
      </c>
      <c r="B853" s="5" t="inlineStr">
        <is>
          <t>AGE.GER.III</t>
        </is>
      </c>
      <c r="C853" s="5" t="inlineStr">
        <is>
          <t>AGE</t>
        </is>
      </c>
      <c r="D853" s="5" t="n">
        <v>4</v>
      </c>
      <c r="E853" s="5" t="inlineStr">
        <is>
          <t>Gerenciado</t>
        </is>
      </c>
      <c r="F853" s="5" t="inlineStr">
        <is>
          <t>III</t>
        </is>
      </c>
      <c r="G853" s="5" t="inlineStr">
        <is>
          <t>Cumprimento de 50% a 79% da Agenda Regulatória;</t>
        </is>
      </c>
      <c r="H853" s="6" t="n"/>
      <c r="I853" s="6" t="n"/>
      <c r="J853" s="6" t="n"/>
      <c r="K853" s="6" t="inlineStr">
        <is>
          <t>pendente</t>
        </is>
      </c>
      <c r="L853" s="6" t="n"/>
      <c r="M853" s="5">
        <f>IF(H853="SIM",1,0)</f>
        <v/>
      </c>
      <c r="N853" s="5">
        <f>IF(AND(H853="SIM",K853="validado",I853&lt;&gt;""),1,0)</f>
        <v/>
      </c>
    </row>
    <row r="854">
      <c r="A854" s="5" t="inlineStr">
        <is>
          <t>ANPD</t>
        </is>
      </c>
      <c r="B854" s="5" t="inlineStr">
        <is>
          <t>AGE.MC.IV</t>
        </is>
      </c>
      <c r="C854" s="5" t="inlineStr">
        <is>
          <t>AGE</t>
        </is>
      </c>
      <c r="D854" s="5" t="n">
        <v>4</v>
      </c>
      <c r="E854" s="5" t="inlineStr">
        <is>
          <t>Melhoria Contínua</t>
        </is>
      </c>
      <c r="F854" s="5" t="inlineStr">
        <is>
          <t>IV</t>
        </is>
      </c>
      <c r="G854" s="5" t="inlineStr">
        <is>
          <t>A execução da Agenda Regulatória é periodicamente monitorada e divulgada.</t>
        </is>
      </c>
      <c r="H854" s="6" t="n"/>
      <c r="I854" s="6" t="n"/>
      <c r="J854" s="6" t="n"/>
      <c r="K854" s="6" t="inlineStr">
        <is>
          <t>pendente</t>
        </is>
      </c>
      <c r="L854" s="6" t="n"/>
      <c r="M854" s="5">
        <f>IF(H854="SIM",1,0)</f>
        <v/>
      </c>
      <c r="N854" s="5">
        <f>IF(AND(H854="SIM",K854="validado",I854&lt;&gt;""),1,0)</f>
        <v/>
      </c>
    </row>
    <row r="855">
      <c r="A855" s="5" t="inlineStr">
        <is>
          <t>ANPD</t>
        </is>
      </c>
      <c r="B855" s="5" t="inlineStr">
        <is>
          <t>AGE.GER.IV</t>
        </is>
      </c>
      <c r="C855" s="5" t="inlineStr">
        <is>
          <t>AGE</t>
        </is>
      </c>
      <c r="D855" s="5" t="n">
        <v>4</v>
      </c>
      <c r="E855" s="5" t="inlineStr">
        <is>
          <t>Gerenciado</t>
        </is>
      </c>
      <c r="F855" s="5" t="inlineStr">
        <is>
          <t>IV</t>
        </is>
      </c>
      <c r="G855" s="5" t="inlineStr">
        <is>
          <t>A execução da Agenda Regulatória é periodicamente monitorada.</t>
        </is>
      </c>
      <c r="H855" s="6" t="n"/>
      <c r="I855" s="6" t="n"/>
      <c r="J855" s="6" t="n"/>
      <c r="K855" s="6" t="inlineStr">
        <is>
          <t>pendente</t>
        </is>
      </c>
      <c r="L855" s="6" t="n"/>
      <c r="M855" s="5">
        <f>IF(H855="SIM",1,0)</f>
        <v/>
      </c>
      <c r="N855" s="5">
        <f>IF(AND(H855="SIM",K855="validado",I855&lt;&gt;""),1,0)</f>
        <v/>
      </c>
    </row>
    <row r="856">
      <c r="A856" s="5" t="inlineStr">
        <is>
          <t>ANPD</t>
        </is>
      </c>
      <c r="B856" s="5" t="inlineStr">
        <is>
          <t>PRO.MC.I</t>
        </is>
      </c>
      <c r="C856" s="5" t="inlineStr">
        <is>
          <t>PRO</t>
        </is>
      </c>
      <c r="D856" s="5" t="n">
        <v>5</v>
      </c>
      <c r="E856" s="5" t="inlineStr">
        <is>
          <t>Melhoria Contínua</t>
        </is>
      </c>
      <c r="F856" s="5" t="inlineStr">
        <is>
          <t>I</t>
        </is>
      </c>
      <c r="G856" s="5" t="inlineStr">
        <is>
          <t>Indicadores de processo normativo estabelecidos e monitorados;</t>
        </is>
      </c>
      <c r="H856" s="6" t="n"/>
      <c r="I856" s="6" t="n"/>
      <c r="J856" s="6" t="n"/>
      <c r="K856" s="6" t="inlineStr">
        <is>
          <t>pendente</t>
        </is>
      </c>
      <c r="L856" s="6" t="n"/>
      <c r="M856" s="5">
        <f>IF(H856="SIM",1,0)</f>
        <v/>
      </c>
      <c r="N856" s="5">
        <f>IF(AND(H856="SIM",K856="validado",I856&lt;&gt;""),1,0)</f>
        <v/>
      </c>
    </row>
    <row r="857">
      <c r="A857" s="5" t="inlineStr">
        <is>
          <t>ANPD</t>
        </is>
      </c>
      <c r="B857" s="5" t="inlineStr">
        <is>
          <t>PRO.GER.I</t>
        </is>
      </c>
      <c r="C857" s="5" t="inlineStr">
        <is>
          <t>PRO</t>
        </is>
      </c>
      <c r="D857" s="5" t="n">
        <v>5</v>
      </c>
      <c r="E857" s="5" t="inlineStr">
        <is>
          <t>Gerenciado</t>
        </is>
      </c>
      <c r="F857" s="5" t="inlineStr">
        <is>
          <t>I</t>
        </is>
      </c>
      <c r="G857" s="5" t="inlineStr">
        <is>
          <t>as intervenções de participação social estão claramente inseridas no processo.</t>
        </is>
      </c>
      <c r="H857" s="6" t="n"/>
      <c r="I857" s="6" t="n"/>
      <c r="J857" s="6" t="n"/>
      <c r="K857" s="6" t="inlineStr">
        <is>
          <t>pendente</t>
        </is>
      </c>
      <c r="L857" s="6" t="n"/>
      <c r="M857" s="5">
        <f>IF(H857="SIM",1,0)</f>
        <v/>
      </c>
      <c r="N857" s="5">
        <f>IF(AND(H857="SIM",K857="validado",I857&lt;&gt;""),1,0)</f>
        <v/>
      </c>
    </row>
    <row r="858">
      <c r="A858" s="5" t="inlineStr">
        <is>
          <t>ANPD</t>
        </is>
      </c>
      <c r="B858" s="5" t="inlineStr">
        <is>
          <t>PRO.INI.I</t>
        </is>
      </c>
      <c r="C858" s="5" t="inlineStr">
        <is>
          <t>PRO</t>
        </is>
      </c>
      <c r="D858" s="5" t="n">
        <v>5</v>
      </c>
      <c r="E858" s="5" t="inlineStr">
        <is>
          <t>Inicial</t>
        </is>
      </c>
      <c r="F858" s="5" t="inlineStr">
        <is>
          <t>I</t>
        </is>
      </c>
      <c r="G858" s="5" t="inlineStr">
        <is>
          <t>O fluxo do processo normativo é formalizado de forma bem definida e clara;</t>
        </is>
      </c>
      <c r="H858" s="6" t="n"/>
      <c r="I858" s="6" t="n"/>
      <c r="J858" s="6" t="n"/>
      <c r="K858" s="6" t="inlineStr">
        <is>
          <t>pendente</t>
        </is>
      </c>
      <c r="L858" s="6" t="n"/>
      <c r="M858" s="5">
        <f>IF(H858="SIM",1,0)</f>
        <v/>
      </c>
      <c r="N858" s="5">
        <f>IF(AND(H858="SIM",K858="validado",I858&lt;&gt;""),1,0)</f>
        <v/>
      </c>
    </row>
    <row r="859">
      <c r="A859" s="5" t="inlineStr">
        <is>
          <t>ANPD</t>
        </is>
      </c>
      <c r="B859" s="5" t="inlineStr">
        <is>
          <t>PRO.MC.II</t>
        </is>
      </c>
      <c r="C859" s="5" t="inlineStr">
        <is>
          <t>PRO</t>
        </is>
      </c>
      <c r="D859" s="5" t="n">
        <v>5</v>
      </c>
      <c r="E859" s="5" t="inlineStr">
        <is>
          <t>Melhoria Contínua</t>
        </is>
      </c>
      <c r="F859" s="5" t="inlineStr">
        <is>
          <t>II</t>
        </is>
      </c>
      <c r="G859" s="5" t="inlineStr">
        <is>
          <t>Há processo contínuo de avaliação e melhoria do processo normativo, utilizando o resultado dos indicadores.</t>
        </is>
      </c>
      <c r="H859" s="6" t="n"/>
      <c r="I859" s="6" t="n"/>
      <c r="J859" s="6" t="n"/>
      <c r="K859" s="6" t="inlineStr">
        <is>
          <t>pendente</t>
        </is>
      </c>
      <c r="L859" s="6" t="n"/>
      <c r="M859" s="5">
        <f>IF(H859="SIM",1,0)</f>
        <v/>
      </c>
      <c r="N859" s="5">
        <f>IF(AND(H859="SIM",K859="validado",I859&lt;&gt;""),1,0)</f>
        <v/>
      </c>
    </row>
    <row r="860">
      <c r="A860" s="5" t="inlineStr">
        <is>
          <t>ANPD</t>
        </is>
      </c>
      <c r="B860" s="5" t="inlineStr">
        <is>
          <t>PRO.INI.II</t>
        </is>
      </c>
      <c r="C860" s="5" t="inlineStr">
        <is>
          <t>PRO</t>
        </is>
      </c>
      <c r="D860" s="5" t="n">
        <v>5</v>
      </c>
      <c r="E860" s="5" t="inlineStr">
        <is>
          <t>Inicial</t>
        </is>
      </c>
      <c r="F860" s="5" t="inlineStr">
        <is>
          <t>II</t>
        </is>
      </c>
      <c r="G860" s="5" t="inlineStr">
        <is>
          <t>As instâncias de aprovação estabelecidas são claras e formalizadas.</t>
        </is>
      </c>
      <c r="H860" s="6" t="n"/>
      <c r="I860" s="6" t="n"/>
      <c r="J860" s="6" t="n"/>
      <c r="K860" s="6" t="inlineStr">
        <is>
          <t>pendente</t>
        </is>
      </c>
      <c r="L860" s="6" t="n"/>
      <c r="M860" s="5">
        <f>IF(H860="SIM",1,0)</f>
        <v/>
      </c>
      <c r="N860" s="5">
        <f>IF(AND(H860="SIM",K860="validado",I860&lt;&gt;""),1,0)</f>
        <v/>
      </c>
    </row>
    <row r="861">
      <c r="A861" s="5" t="inlineStr">
        <is>
          <t>ANPD</t>
        </is>
      </c>
      <c r="B861" s="5" t="inlineStr">
        <is>
          <t>ARR_CAP.MC.I</t>
        </is>
      </c>
      <c r="C861" s="5" t="inlineStr">
        <is>
          <t>ARR_CAP</t>
        </is>
      </c>
      <c r="D861" s="5" t="n">
        <v>6</v>
      </c>
      <c r="E861" s="5" t="inlineStr">
        <is>
          <t>Melhoria Contínua</t>
        </is>
      </c>
      <c r="F861" s="5" t="inlineStr">
        <is>
          <t>I</t>
        </is>
      </c>
      <c r="G861" s="5" t="inlineStr">
        <is>
          <t>Plano de capacitação formalizado e em execução, incluindo permanente reciclagem em ARR;</t>
        </is>
      </c>
      <c r="H861" s="6" t="n"/>
      <c r="I861" s="6" t="n"/>
      <c r="J861" s="6" t="n"/>
      <c r="K861" s="6" t="inlineStr">
        <is>
          <t>pendente</t>
        </is>
      </c>
      <c r="L861" s="6" t="n"/>
      <c r="M861" s="5">
        <f>IF(H861="SIM",1,0)</f>
        <v/>
      </c>
      <c r="N861" s="5">
        <f>IF(AND(H861="SIM",K861="validado",I861&lt;&gt;""),1,0)</f>
        <v/>
      </c>
    </row>
    <row r="862">
      <c r="A862" s="5" t="inlineStr">
        <is>
          <t>ANPD</t>
        </is>
      </c>
      <c r="B862" s="5" t="inlineStr">
        <is>
          <t>ARR_CAP.GER.I</t>
        </is>
      </c>
      <c r="C862" s="5" t="inlineStr">
        <is>
          <t>ARR_CAP</t>
        </is>
      </c>
      <c r="D862" s="5" t="n">
        <v>6</v>
      </c>
      <c r="E862" s="5" t="inlineStr">
        <is>
          <t>Gerenciado</t>
        </is>
      </c>
      <c r="F862" s="5" t="inlineStr">
        <is>
          <t>I</t>
        </is>
      </c>
      <c r="G862" s="5" t="inlineStr">
        <is>
          <t>Capacitações institucionalizadas, sem um plano formalizado;</t>
        </is>
      </c>
      <c r="H862" s="6" t="n"/>
      <c r="I862" s="6" t="n"/>
      <c r="J862" s="6" t="n"/>
      <c r="K862" s="6" t="inlineStr">
        <is>
          <t>pendente</t>
        </is>
      </c>
      <c r="L862" s="6" t="n"/>
      <c r="M862" s="5">
        <f>IF(H862="SIM",1,0)</f>
        <v/>
      </c>
      <c r="N862" s="5">
        <f>IF(AND(H862="SIM",K862="validado",I862&lt;&gt;""),1,0)</f>
        <v/>
      </c>
    </row>
    <row r="863">
      <c r="A863" s="5" t="inlineStr">
        <is>
          <t>ANPD</t>
        </is>
      </c>
      <c r="B863" s="5" t="inlineStr">
        <is>
          <t>ARR_CAP.INI.I</t>
        </is>
      </c>
      <c r="C863" s="5" t="inlineStr">
        <is>
          <t>ARR_CAP</t>
        </is>
      </c>
      <c r="D863" s="5" t="n">
        <v>6</v>
      </c>
      <c r="E863" s="5" t="inlineStr">
        <is>
          <t>Inicial</t>
        </is>
      </c>
      <c r="F863" s="5" t="inlineStr">
        <is>
          <t>I</t>
        </is>
      </c>
      <c r="G863" s="5" t="inlineStr">
        <is>
          <t>Capacitações não estão institucionalizadas;</t>
        </is>
      </c>
      <c r="H863" s="6" t="n"/>
      <c r="I863" s="6" t="n"/>
      <c r="J863" s="6" t="n"/>
      <c r="K863" s="6" t="inlineStr">
        <is>
          <t>pendente</t>
        </is>
      </c>
      <c r="L863" s="6" t="n"/>
      <c r="M863" s="5">
        <f>IF(H863="SIM",1,0)</f>
        <v/>
      </c>
      <c r="N863" s="5">
        <f>IF(AND(H863="SIM",K863="validado",I863&lt;&gt;""),1,0)</f>
        <v/>
      </c>
    </row>
    <row r="864">
      <c r="A864" s="5" t="inlineStr">
        <is>
          <t>ANPD</t>
        </is>
      </c>
      <c r="B864" s="5" t="inlineStr">
        <is>
          <t>ARR_CAP.MC.II</t>
        </is>
      </c>
      <c r="C864" s="5" t="inlineStr">
        <is>
          <t>ARR_CAP</t>
        </is>
      </c>
      <c r="D864" s="5" t="n">
        <v>6</v>
      </c>
      <c r="E864" s="5" t="inlineStr">
        <is>
          <t>Melhoria Contínua</t>
        </is>
      </c>
      <c r="F864" s="5" t="inlineStr">
        <is>
          <t>II</t>
        </is>
      </c>
      <c r="G864" s="5" t="inlineStr">
        <is>
          <t>No mínimo, 75% dos servidores envolvidos em elaboração de regulação capacitados em ARR.</t>
        </is>
      </c>
      <c r="H864" s="6" t="n"/>
      <c r="I864" s="6" t="n"/>
      <c r="J864" s="6" t="n"/>
      <c r="K864" s="6" t="inlineStr">
        <is>
          <t>pendente</t>
        </is>
      </c>
      <c r="L864" s="6" t="n"/>
      <c r="M864" s="5">
        <f>IF(H864="SIM",1,0)</f>
        <v/>
      </c>
      <c r="N864" s="5">
        <f>IF(AND(H864="SIM",K864="validado",I864&lt;&gt;""),1,0)</f>
        <v/>
      </c>
    </row>
    <row r="865">
      <c r="A865" s="5" t="inlineStr">
        <is>
          <t>ANPD</t>
        </is>
      </c>
      <c r="B865" s="5" t="inlineStr">
        <is>
          <t>ARR_CAP.GER.II</t>
        </is>
      </c>
      <c r="C865" s="5" t="inlineStr">
        <is>
          <t>ARR_CAP</t>
        </is>
      </c>
      <c r="D865" s="5" t="n">
        <v>6</v>
      </c>
      <c r="E865" s="5" t="inlineStr">
        <is>
          <t>Gerenciado</t>
        </is>
      </c>
      <c r="F865" s="5" t="inlineStr">
        <is>
          <t>II</t>
        </is>
      </c>
      <c r="G865" s="5" t="inlineStr">
        <is>
          <t>de 50% a 74% dos servidores envolvidos em elaboração de regulação capacitados em ARR;</t>
        </is>
      </c>
      <c r="H865" s="6" t="n"/>
      <c r="I865" s="6" t="n"/>
      <c r="J865" s="6" t="n"/>
      <c r="K865" s="6" t="inlineStr">
        <is>
          <t>pendente</t>
        </is>
      </c>
      <c r="L865" s="6" t="n"/>
      <c r="M865" s="5">
        <f>IF(H865="SIM",1,0)</f>
        <v/>
      </c>
      <c r="N865" s="5">
        <f>IF(AND(H865="SIM",K865="validado",I865&lt;&gt;""),1,0)</f>
        <v/>
      </c>
    </row>
    <row r="866">
      <c r="A866" s="5" t="inlineStr">
        <is>
          <t>ANPD</t>
        </is>
      </c>
      <c r="B866" s="5" t="inlineStr">
        <is>
          <t>ARR_CAP.INI.II</t>
        </is>
      </c>
      <c r="C866" s="5" t="inlineStr">
        <is>
          <t>ARR_CAP</t>
        </is>
      </c>
      <c r="D866" s="5" t="n">
        <v>6</v>
      </c>
      <c r="E866" s="5" t="inlineStr">
        <is>
          <t>Inicial</t>
        </is>
      </c>
      <c r="F866" s="5" t="inlineStr">
        <is>
          <t>II</t>
        </is>
      </c>
      <c r="G866" s="5" t="inlineStr">
        <is>
          <t>de 25% a 49% dos servidores envolvidos em elaboração de regulação capacitados em ARR.</t>
        </is>
      </c>
      <c r="H866" s="6" t="n"/>
      <c r="I866" s="6" t="n"/>
      <c r="J866" s="6" t="n"/>
      <c r="K866" s="6" t="inlineStr">
        <is>
          <t>pendente</t>
        </is>
      </c>
      <c r="L866" s="6" t="n"/>
      <c r="M866" s="5">
        <f>IF(H866="SIM",1,0)</f>
        <v/>
      </c>
      <c r="N866" s="5">
        <f>IF(AND(H866="SIM",K866="validado",I866&lt;&gt;""),1,0)</f>
        <v/>
      </c>
    </row>
    <row r="867">
      <c r="A867" s="5" t="inlineStr">
        <is>
          <t>ANPD</t>
        </is>
      </c>
      <c r="B867" s="5" t="inlineStr">
        <is>
          <t>ARR_MET.MC.I</t>
        </is>
      </c>
      <c r="C867" s="5" t="inlineStr">
        <is>
          <t>ARR_MET</t>
        </is>
      </c>
      <c r="D867" s="5" t="n">
        <v>6</v>
      </c>
      <c r="E867" s="5" t="inlineStr">
        <is>
          <t>Melhoria Contínua</t>
        </is>
      </c>
      <c r="F867" s="5" t="inlineStr">
        <is>
          <t>I</t>
        </is>
      </c>
      <c r="G867" s="5" t="inlineStr">
        <is>
          <t>Metodologia de elaboração de ARR contempla a participação social, conforme complexidade do ato;</t>
        </is>
      </c>
      <c r="H867" s="6" t="n"/>
      <c r="I867" s="6" t="n"/>
      <c r="J867" s="6" t="n"/>
      <c r="K867" s="6" t="inlineStr">
        <is>
          <t>pendente</t>
        </is>
      </c>
      <c r="L867" s="6" t="n"/>
      <c r="M867" s="5">
        <f>IF(H867="SIM",1,0)</f>
        <v/>
      </c>
      <c r="N867" s="5">
        <f>IF(AND(H867="SIM",K867="validado",I867&lt;&gt;""),1,0)</f>
        <v/>
      </c>
    </row>
    <row r="868">
      <c r="A868" s="5" t="inlineStr">
        <is>
          <t>ANPD</t>
        </is>
      </c>
      <c r="B868" s="5" t="inlineStr">
        <is>
          <t>ARR_MET.GER.I</t>
        </is>
      </c>
      <c r="C868" s="5" t="inlineStr">
        <is>
          <t>ARR_MET</t>
        </is>
      </c>
      <c r="D868" s="5" t="n">
        <v>6</v>
      </c>
      <c r="E868" s="5" t="inlineStr">
        <is>
          <t>Gerenciado</t>
        </is>
      </c>
      <c r="F868" s="5" t="inlineStr">
        <is>
          <t>I</t>
        </is>
      </c>
      <c r="G868" s="5" t="inlineStr">
        <is>
          <t>Existência de manual ou ato normativo instituindo a aplicabilidade de ARR no órgão;</t>
        </is>
      </c>
      <c r="H868" s="6" t="n"/>
      <c r="I868" s="6" t="n"/>
      <c r="J868" s="6" t="n"/>
      <c r="K868" s="6" t="inlineStr">
        <is>
          <t>pendente</t>
        </is>
      </c>
      <c r="L868" s="6" t="n"/>
      <c r="M868" s="5">
        <f>IF(H868="SIM",1,0)</f>
        <v/>
      </c>
      <c r="N868" s="5">
        <f>IF(AND(H868="SIM",K868="validado",I868&lt;&gt;""),1,0)</f>
        <v/>
      </c>
    </row>
    <row r="869">
      <c r="A869" s="5" t="inlineStr">
        <is>
          <t>ANPD</t>
        </is>
      </c>
      <c r="B869" s="5" t="inlineStr">
        <is>
          <t>ARR_MET.INI.I</t>
        </is>
      </c>
      <c r="C869" s="5" t="inlineStr">
        <is>
          <t>ARR_MET</t>
        </is>
      </c>
      <c r="D869" s="5" t="n">
        <v>6</v>
      </c>
      <c r="E869" s="5" t="inlineStr">
        <is>
          <t>Inicial</t>
        </is>
      </c>
      <c r="F869" s="5" t="inlineStr">
        <is>
          <t>I</t>
        </is>
      </c>
      <c r="G869" s="5" t="inlineStr">
        <is>
          <t>existe Agenda de ARR, conforme determinado no Decreto nº 10.411, de 2020.</t>
        </is>
      </c>
      <c r="H869" s="6" t="n"/>
      <c r="I869" s="6" t="n"/>
      <c r="J869" s="6" t="n"/>
      <c r="K869" s="6" t="inlineStr">
        <is>
          <t>pendente</t>
        </is>
      </c>
      <c r="L869" s="6" t="n"/>
      <c r="M869" s="5">
        <f>IF(H869="SIM",1,0)</f>
        <v/>
      </c>
      <c r="N869" s="5">
        <f>IF(AND(H869="SIM",K869="validado",I869&lt;&gt;""),1,0)</f>
        <v/>
      </c>
    </row>
    <row r="870">
      <c r="A870" s="5" t="inlineStr">
        <is>
          <t>ANPD</t>
        </is>
      </c>
      <c r="B870" s="5" t="inlineStr">
        <is>
          <t>ARR_MET.MC.II</t>
        </is>
      </c>
      <c r="C870" s="5" t="inlineStr">
        <is>
          <t>ARR_MET</t>
        </is>
      </c>
      <c r="D870" s="5" t="n">
        <v>6</v>
      </c>
      <c r="E870" s="5" t="inlineStr">
        <is>
          <t>Melhoria Contínua</t>
        </is>
      </c>
      <c r="F870" s="5" t="inlineStr">
        <is>
          <t>II</t>
        </is>
      </c>
      <c r="G870" s="5" t="inlineStr">
        <is>
          <t>Existência de Agenda de ARR integrada com a Agenda Regulatória.</t>
        </is>
      </c>
      <c r="H870" s="6" t="n"/>
      <c r="I870" s="6" t="n"/>
      <c r="J870" s="6" t="n"/>
      <c r="K870" s="6" t="inlineStr">
        <is>
          <t>pendente</t>
        </is>
      </c>
      <c r="L870" s="6" t="n"/>
      <c r="M870" s="5">
        <f>IF(H870="SIM",1,0)</f>
        <v/>
      </c>
      <c r="N870" s="5">
        <f>IF(AND(H870="SIM",K870="validado",I870&lt;&gt;""),1,0)</f>
        <v/>
      </c>
    </row>
    <row r="871">
      <c r="A871" s="5" t="inlineStr">
        <is>
          <t>ANPD</t>
        </is>
      </c>
      <c r="B871" s="5" t="inlineStr">
        <is>
          <t>ARR_MET.GER.II</t>
        </is>
      </c>
      <c r="C871" s="5" t="inlineStr">
        <is>
          <t>ARR_MET</t>
        </is>
      </c>
      <c r="D871" s="5" t="n">
        <v>6</v>
      </c>
      <c r="E871" s="5" t="inlineStr">
        <is>
          <t>Gerenciado</t>
        </is>
      </c>
      <c r="F871" s="5" t="inlineStr">
        <is>
          <t>II</t>
        </is>
      </c>
      <c r="G871" s="5" t="inlineStr">
        <is>
          <t>Metodologia de elaboração da Agenda de ARR contempla participação social.</t>
        </is>
      </c>
      <c r="H871" s="6" t="n"/>
      <c r="I871" s="6" t="n"/>
      <c r="J871" s="6" t="n"/>
      <c r="K871" s="6" t="inlineStr">
        <is>
          <t>pendente</t>
        </is>
      </c>
      <c r="L871" s="6" t="n"/>
      <c r="M871" s="5">
        <f>IF(H871="SIM",1,0)</f>
        <v/>
      </c>
      <c r="N871" s="5">
        <f>IF(AND(H871="SIM",K871="validado",I871&lt;&gt;""),1,0)</f>
        <v/>
      </c>
    </row>
    <row r="872">
      <c r="A872" s="5" t="inlineStr">
        <is>
          <t>ANPD</t>
        </is>
      </c>
      <c r="B872" s="5" t="inlineStr">
        <is>
          <t>ARR_PRO.MC.I</t>
        </is>
      </c>
      <c r="C872" s="5" t="inlineStr">
        <is>
          <t>ARR_PRO</t>
        </is>
      </c>
      <c r="D872" s="5" t="n">
        <v>6</v>
      </c>
      <c r="E872" s="5" t="inlineStr">
        <is>
          <t>Melhoria Contínua</t>
        </is>
      </c>
      <c r="F872" s="5" t="inlineStr">
        <is>
          <t>I</t>
        </is>
      </c>
      <c r="G872" s="5" t="inlineStr">
        <is>
          <t>Há processo contínuo de avaliação e melhoria do processo de elaboração de ARR;</t>
        </is>
      </c>
      <c r="H872" s="6" t="n"/>
      <c r="I872" s="6" t="n"/>
      <c r="J872" s="6" t="n"/>
      <c r="K872" s="6" t="inlineStr">
        <is>
          <t>pendente</t>
        </is>
      </c>
      <c r="L872" s="6" t="n"/>
      <c r="M872" s="5">
        <f>IF(H872="SIM",1,0)</f>
        <v/>
      </c>
      <c r="N872" s="5">
        <f>IF(AND(H872="SIM",K872="validado",I872&lt;&gt;""),1,0)</f>
        <v/>
      </c>
    </row>
    <row r="873">
      <c r="A873" s="5" t="inlineStr">
        <is>
          <t>ANPD</t>
        </is>
      </c>
      <c r="B873" s="5" t="inlineStr">
        <is>
          <t>ARR_PRO.GER.I</t>
        </is>
      </c>
      <c r="C873" s="5" t="inlineStr">
        <is>
          <t>ARR_PRO</t>
        </is>
      </c>
      <c r="D873" s="5" t="n">
        <v>6</v>
      </c>
      <c r="E873" s="5" t="inlineStr">
        <is>
          <t>Gerenciado</t>
        </is>
      </c>
      <c r="F873" s="5" t="inlineStr">
        <is>
          <t>I</t>
        </is>
      </c>
      <c r="G873" s="5" t="inlineStr">
        <is>
          <t>ARR é realizada conforme manual ou ato normativo;</t>
        </is>
      </c>
      <c r="H873" s="6" t="n"/>
      <c r="I873" s="6" t="n"/>
      <c r="J873" s="6" t="n"/>
      <c r="K873" s="6" t="inlineStr">
        <is>
          <t>pendente</t>
        </is>
      </c>
      <c r="L873" s="6" t="n"/>
      <c r="M873" s="5">
        <f>IF(H873="SIM",1,0)</f>
        <v/>
      </c>
      <c r="N873" s="5">
        <f>IF(AND(H873="SIM",K873="validado",I873&lt;&gt;""),1,0)</f>
        <v/>
      </c>
    </row>
    <row r="874">
      <c r="A874" s="5" t="inlineStr">
        <is>
          <t>ANPD</t>
        </is>
      </c>
      <c r="B874" s="5" t="inlineStr">
        <is>
          <t>ARR_PRO.INI.I</t>
        </is>
      </c>
      <c r="C874" s="5" t="inlineStr">
        <is>
          <t>ARR_PRO</t>
        </is>
      </c>
      <c r="D874" s="5" t="n">
        <v>6</v>
      </c>
      <c r="E874" s="5" t="inlineStr">
        <is>
          <t>Inicial</t>
        </is>
      </c>
      <c r="F874" s="5" t="inlineStr">
        <is>
          <t>I</t>
        </is>
      </c>
      <c r="G874" s="5" t="inlineStr">
        <is>
          <t>Todas as ARRs são publicadas e acessíveis ao público na internet;</t>
        </is>
      </c>
      <c r="H874" s="6" t="n"/>
      <c r="I874" s="6" t="n"/>
      <c r="J874" s="6" t="n"/>
      <c r="K874" s="6" t="inlineStr">
        <is>
          <t>pendente</t>
        </is>
      </c>
      <c r="L874" s="6" t="n"/>
      <c r="M874" s="5">
        <f>IF(H874="SIM",1,0)</f>
        <v/>
      </c>
      <c r="N874" s="5">
        <f>IF(AND(H874="SIM",K874="validado",I874&lt;&gt;""),1,0)</f>
        <v/>
      </c>
    </row>
    <row r="875">
      <c r="A875" s="5" t="inlineStr">
        <is>
          <t>ANPD</t>
        </is>
      </c>
      <c r="B875" s="5" t="inlineStr">
        <is>
          <t>ARR_PRO.MC.II</t>
        </is>
      </c>
      <c r="C875" s="5" t="inlineStr">
        <is>
          <t>ARR_PRO</t>
        </is>
      </c>
      <c r="D875" s="5" t="n">
        <v>6</v>
      </c>
      <c r="E875" s="5" t="inlineStr">
        <is>
          <t>Melhoria Contínua</t>
        </is>
      </c>
      <c r="F875" s="5" t="inlineStr">
        <is>
          <t>II</t>
        </is>
      </c>
      <c r="G875" s="5" t="inlineStr">
        <is>
          <t>A execução da Agenda de ARR é periodicamente monitorada e divulgada.</t>
        </is>
      </c>
      <c r="H875" s="6" t="n"/>
      <c r="I875" s="6" t="n"/>
      <c r="J875" s="6" t="n"/>
      <c r="K875" s="6" t="inlineStr">
        <is>
          <t>pendente</t>
        </is>
      </c>
      <c r="L875" s="6" t="n"/>
      <c r="M875" s="5">
        <f>IF(H875="SIM",1,0)</f>
        <v/>
      </c>
      <c r="N875" s="5">
        <f>IF(AND(H875="SIM",K875="validado",I875&lt;&gt;""),1,0)</f>
        <v/>
      </c>
    </row>
    <row r="876">
      <c r="A876" s="5" t="inlineStr">
        <is>
          <t>ANPD</t>
        </is>
      </c>
      <c r="B876" s="5" t="inlineStr">
        <is>
          <t>ARR_PRO.GER.II</t>
        </is>
      </c>
      <c r="C876" s="5" t="inlineStr">
        <is>
          <t>ARR_PRO</t>
        </is>
      </c>
      <c r="D876" s="5" t="n">
        <v>6</v>
      </c>
      <c r="E876" s="5" t="inlineStr">
        <is>
          <t>Gerenciado</t>
        </is>
      </c>
      <c r="F876" s="5" t="inlineStr">
        <is>
          <t>II</t>
        </is>
      </c>
      <c r="G876" s="5" t="inlineStr">
        <is>
          <t>ARRs de alto impacto/alta complexidade foram submetidas à participação social.</t>
        </is>
      </c>
      <c r="H876" s="6" t="n"/>
      <c r="I876" s="6" t="n"/>
      <c r="J876" s="6" t="n"/>
      <c r="K876" s="6" t="inlineStr">
        <is>
          <t>pendente</t>
        </is>
      </c>
      <c r="L876" s="6" t="n"/>
      <c r="M876" s="5">
        <f>IF(H876="SIM",1,0)</f>
        <v/>
      </c>
      <c r="N876" s="5">
        <f>IF(AND(H876="SIM",K876="validado",I876&lt;&gt;""),1,0)</f>
        <v/>
      </c>
    </row>
    <row r="877">
      <c r="A877" s="5" t="inlineStr">
        <is>
          <t>ANPD</t>
        </is>
      </c>
      <c r="B877" s="5" t="inlineStr">
        <is>
          <t>ARR_PRO.INI.II</t>
        </is>
      </c>
      <c r="C877" s="5" t="inlineStr">
        <is>
          <t>ARR_PRO</t>
        </is>
      </c>
      <c r="D877" s="5" t="n">
        <v>6</v>
      </c>
      <c r="E877" s="5" t="inlineStr">
        <is>
          <t>Inicial</t>
        </is>
      </c>
      <c r="F877" s="5" t="inlineStr">
        <is>
          <t>II</t>
        </is>
      </c>
      <c r="G877" s="5" t="inlineStr">
        <is>
          <t>A agenda de ARR está publicada no site do órgão.</t>
        </is>
      </c>
      <c r="H877" s="6" t="n"/>
      <c r="I877" s="6" t="n"/>
      <c r="J877" s="6" t="n"/>
      <c r="K877" s="6" t="inlineStr">
        <is>
          <t>pendente</t>
        </is>
      </c>
      <c r="L877" s="6" t="n"/>
      <c r="M877" s="5">
        <f>IF(H877="SIM",1,0)</f>
        <v/>
      </c>
      <c r="N877" s="5">
        <f>IF(AND(H877="SIM",K877="validado",I877&lt;&gt;""),1,0)</f>
        <v/>
      </c>
    </row>
  </sheetData>
  <autoFilter ref="A1:N877"/>
  <conditionalFormatting sqref="H2:H877">
    <cfRule type="cellIs" priority="1" operator="equal" dxfId="0">
      <formula>"SIM"</formula>
    </cfRule>
    <cfRule type="cellIs" priority="2" operator="equal" dxfId="1">
      <formula>"NÃO"</formula>
    </cfRule>
  </conditionalFormatting>
  <dataValidations count="2">
    <dataValidation sqref="H2:H877" showDropDown="0" showInputMessage="0" showErrorMessage="0" allowBlank="1" type="list">
      <formula1>"SIM,NÃO,?"</formula1>
    </dataValidation>
    <dataValidation sqref="K2:K877" showDropDown="0" showInputMessage="0" showErrorMessage="0" allowBlank="0" type="list">
      <formula1>"pendente,preliminar,em_revisao,validado,rejeitado"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16" customWidth="1" min="15" max="15"/>
  </cols>
  <sheetData>
    <row r="1">
      <c r="A1" s="4" t="inlineStr">
        <is>
          <t>Agência</t>
        </is>
      </c>
      <c r="B1" s="4" t="inlineStr">
        <is>
          <t>Critério</t>
        </is>
      </c>
      <c r="C1" s="4" t="inlineStr">
        <is>
          <t>Dim.</t>
        </is>
      </c>
      <c r="D1" s="4" t="inlineStr">
        <is>
          <t>Peso na dim.</t>
        </is>
      </c>
      <c r="E1" s="4" t="inlineStr">
        <is>
          <t>n Inicial</t>
        </is>
      </c>
      <c r="F1" s="4" t="inlineStr">
        <is>
          <t>n Gerenc.</t>
        </is>
      </c>
      <c r="G1" s="4" t="inlineStr">
        <is>
          <t>n MC</t>
        </is>
      </c>
      <c r="H1" s="4" t="inlineStr">
        <is>
          <t>ok Inicial (est)</t>
        </is>
      </c>
      <c r="I1" s="4" t="inlineStr">
        <is>
          <t>ok Gerenc. (est)</t>
        </is>
      </c>
      <c r="J1" s="4" t="inlineStr">
        <is>
          <t>ok MC (est)</t>
        </is>
      </c>
      <c r="K1" s="4" t="inlineStr">
        <is>
          <t>ok Inicial (comp)</t>
        </is>
      </c>
      <c r="L1" s="4" t="inlineStr">
        <is>
          <t>ok Gerenc. (comp)</t>
        </is>
      </c>
      <c r="M1" s="4" t="inlineStr">
        <is>
          <t>ok MC (comp)</t>
        </is>
      </c>
      <c r="N1" s="4" t="inlineStr">
        <is>
          <t>Classificação ESTIMADA (0–1)</t>
        </is>
      </c>
      <c r="O1" s="4" t="inlineStr">
        <is>
          <t>Classificação COMPROVADA (0–1)</t>
        </is>
      </c>
    </row>
    <row r="2">
      <c r="A2" s="5" t="inlineStr">
        <is>
          <t>ANATEL</t>
        </is>
      </c>
      <c r="B2" s="5" t="inlineStr">
        <is>
          <t>AIR_CAP</t>
        </is>
      </c>
      <c r="C2" s="5" t="n">
        <v>1</v>
      </c>
      <c r="D2" s="5" t="n">
        <v>0.3</v>
      </c>
      <c r="E2" s="5">
        <f>COUNTIFS(Condições!$C$2:$C$74,$B2,Condições!$E$2:$E$74,"Inicial")</f>
        <v/>
      </c>
      <c r="F2" s="5">
        <f>COUNTIFS(Condições!$C$2:$C$74,$B2,Condições!$E$2:$E$74,"Gerenciado")</f>
        <v/>
      </c>
      <c r="G2" s="5">
        <f>COUNTIFS(Condições!$C$2:$C$74,$B2,Condições!$E$2:$E$74,"Melhoria Contínua")</f>
        <v/>
      </c>
      <c r="H2" s="5">
        <f>COUNTIFS(Avaliação!$A$2:$A$877,$A2,Avaliação!$C$2:$C$877,$B2,Avaliação!$E$2:$E$877,"Inicial",Avaliação!$M$2:$M$877,1)</f>
        <v/>
      </c>
      <c r="I2" s="5">
        <f>COUNTIFS(Avaliação!$A$2:$A$877,$A2,Avaliação!$C$2:$C$877,$B2,Avaliação!$E$2:$E$877,"Gerenciado",Avaliação!$M$2:$M$877,1)</f>
        <v/>
      </c>
      <c r="J2" s="5">
        <f>COUNTIFS(Avaliação!$A$2:$A$877,$A2,Avaliação!$C$2:$C$877,$B2,Avaliação!$E$2:$E$877,"Melhoria Contínua",Avaliação!$M$2:$M$877,1)</f>
        <v/>
      </c>
      <c r="K2" s="5">
        <f>COUNTIFS(Avaliação!$A$2:$A$877,$A2,Avaliação!$C$2:$C$877,$B2,Avaliação!$E$2:$E$877,"Inicial",Avaliação!$N$2:$N$877,1)</f>
        <v/>
      </c>
      <c r="L2" s="5">
        <f>COUNTIFS(Avaliação!$A$2:$A$877,$A2,Avaliação!$C$2:$C$877,$B2,Avaliação!$E$2:$E$877,"Gerenciado",Avaliação!$N$2:$N$877,1)</f>
        <v/>
      </c>
      <c r="M2" s="5">
        <f>COUNTIFS(Avaliação!$A$2:$A$877,$A2,Avaliação!$C$2:$C$877,$B2,Avaliação!$E$2:$E$877,"Melhoria Contínua",Avaliação!$N$2:$N$877,1)</f>
        <v/>
      </c>
      <c r="N2" s="10">
        <f>IF(H2&lt;E2,v_ini*H2/E2,IF(I2&lt;F2,v_ini+(v_ger-v_ini)*I2/F2,IF(J2&lt;G2,v_ger+(v_mc-v_ger)*J2/G2,v_mc)))</f>
        <v/>
      </c>
      <c r="O2" s="10">
        <f>IF(K2&lt;E2,v_ini*K2/E2,IF(L2&lt;F2,v_ini+(v_ger-v_ini)*L2/F2,IF(M2&lt;G2,v_ger+(v_mc-v_ger)*M2/G2,v_mc)))</f>
        <v/>
      </c>
    </row>
    <row r="3">
      <c r="A3" s="5" t="inlineStr">
        <is>
          <t>ANATEL</t>
        </is>
      </c>
      <c r="B3" s="5" t="inlineStr">
        <is>
          <t>AIR_MET</t>
        </is>
      </c>
      <c r="C3" s="5" t="n">
        <v>1</v>
      </c>
      <c r="D3" s="5" t="n">
        <v>0.35</v>
      </c>
      <c r="E3" s="5">
        <f>COUNTIFS(Condições!$C$2:$C$74,$B3,Condições!$E$2:$E$74,"Inicial")</f>
        <v/>
      </c>
      <c r="F3" s="5">
        <f>COUNTIFS(Condições!$C$2:$C$74,$B3,Condições!$E$2:$E$74,"Gerenciado")</f>
        <v/>
      </c>
      <c r="G3" s="5">
        <f>COUNTIFS(Condições!$C$2:$C$74,$B3,Condições!$E$2:$E$74,"Melhoria Contínua")</f>
        <v/>
      </c>
      <c r="H3" s="5">
        <f>COUNTIFS(Avaliação!$A$2:$A$877,$A3,Avaliação!$C$2:$C$877,$B3,Avaliação!$E$2:$E$877,"Inicial",Avaliação!$M$2:$M$877,1)</f>
        <v/>
      </c>
      <c r="I3" s="5">
        <f>COUNTIFS(Avaliação!$A$2:$A$877,$A3,Avaliação!$C$2:$C$877,$B3,Avaliação!$E$2:$E$877,"Gerenciado",Avaliação!$M$2:$M$877,1)</f>
        <v/>
      </c>
      <c r="J3" s="5">
        <f>COUNTIFS(Avaliação!$A$2:$A$877,$A3,Avaliação!$C$2:$C$877,$B3,Avaliação!$E$2:$E$877,"Melhoria Contínua",Avaliação!$M$2:$M$877,1)</f>
        <v/>
      </c>
      <c r="K3" s="5">
        <f>COUNTIFS(Avaliação!$A$2:$A$877,$A3,Avaliação!$C$2:$C$877,$B3,Avaliação!$E$2:$E$877,"Inicial",Avaliação!$N$2:$N$877,1)</f>
        <v/>
      </c>
      <c r="L3" s="5">
        <f>COUNTIFS(Avaliação!$A$2:$A$877,$A3,Avaliação!$C$2:$C$877,$B3,Avaliação!$E$2:$E$877,"Gerenciado",Avaliação!$N$2:$N$877,1)</f>
        <v/>
      </c>
      <c r="M3" s="5">
        <f>COUNTIFS(Avaliação!$A$2:$A$877,$A3,Avaliação!$C$2:$C$877,$B3,Avaliação!$E$2:$E$877,"Melhoria Contínua",Avaliação!$N$2:$N$877,1)</f>
        <v/>
      </c>
      <c r="N3" s="10">
        <f>IF(H3&lt;E3,v_ini*H3/E3,IF(I3&lt;F3,v_ini+(v_ger-v_ini)*I3/F3,IF(J3&lt;G3,v_ger+(v_mc-v_ger)*J3/G3,v_mc)))</f>
        <v/>
      </c>
      <c r="O3" s="10">
        <f>IF(K3&lt;E3,v_ini*K3/E3,IF(L3&lt;F3,v_ini+(v_ger-v_ini)*L3/F3,IF(M3&lt;G3,v_ger+(v_mc-v_ger)*M3/G3,v_mc)))</f>
        <v/>
      </c>
    </row>
    <row r="4">
      <c r="A4" s="5" t="inlineStr">
        <is>
          <t>ANATEL</t>
        </is>
      </c>
      <c r="B4" s="5" t="inlineStr">
        <is>
          <t>AIR_PRO</t>
        </is>
      </c>
      <c r="C4" s="5" t="n">
        <v>1</v>
      </c>
      <c r="D4" s="5" t="n">
        <v>0.35</v>
      </c>
      <c r="E4" s="5">
        <f>COUNTIFS(Condições!$C$2:$C$74,$B4,Condições!$E$2:$E$74,"Inicial")</f>
        <v/>
      </c>
      <c r="F4" s="5">
        <f>COUNTIFS(Condições!$C$2:$C$74,$B4,Condições!$E$2:$E$74,"Gerenciado")</f>
        <v/>
      </c>
      <c r="G4" s="5">
        <f>COUNTIFS(Condições!$C$2:$C$74,$B4,Condições!$E$2:$E$74,"Melhoria Contínua")</f>
        <v/>
      </c>
      <c r="H4" s="5">
        <f>COUNTIFS(Avaliação!$A$2:$A$877,$A4,Avaliação!$C$2:$C$877,$B4,Avaliação!$E$2:$E$877,"Inicial",Avaliação!$M$2:$M$877,1)</f>
        <v/>
      </c>
      <c r="I4" s="5">
        <f>COUNTIFS(Avaliação!$A$2:$A$877,$A4,Avaliação!$C$2:$C$877,$B4,Avaliação!$E$2:$E$877,"Gerenciado",Avaliação!$M$2:$M$877,1)</f>
        <v/>
      </c>
      <c r="J4" s="5">
        <f>COUNTIFS(Avaliação!$A$2:$A$877,$A4,Avaliação!$C$2:$C$877,$B4,Avaliação!$E$2:$E$877,"Melhoria Contínua",Avaliação!$M$2:$M$877,1)</f>
        <v/>
      </c>
      <c r="K4" s="5">
        <f>COUNTIFS(Avaliação!$A$2:$A$877,$A4,Avaliação!$C$2:$C$877,$B4,Avaliação!$E$2:$E$877,"Inicial",Avaliação!$N$2:$N$877,1)</f>
        <v/>
      </c>
      <c r="L4" s="5">
        <f>COUNTIFS(Avaliação!$A$2:$A$877,$A4,Avaliação!$C$2:$C$877,$B4,Avaliação!$E$2:$E$877,"Gerenciado",Avaliação!$N$2:$N$877,1)</f>
        <v/>
      </c>
      <c r="M4" s="5">
        <f>COUNTIFS(Avaliação!$A$2:$A$877,$A4,Avaliação!$C$2:$C$877,$B4,Avaliação!$E$2:$E$877,"Melhoria Contínua",Avaliação!$N$2:$N$877,1)</f>
        <v/>
      </c>
      <c r="N4" s="10">
        <f>IF(H4&lt;E4,v_ini*H4/E4,IF(I4&lt;F4,v_ini+(v_ger-v_ini)*I4/F4,IF(J4&lt;G4,v_ger+(v_mc-v_ger)*J4/G4,v_mc)))</f>
        <v/>
      </c>
      <c r="O4" s="10">
        <f>IF(K4&lt;E4,v_ini*K4/E4,IF(L4&lt;F4,v_ini+(v_ger-v_ini)*L4/F4,IF(M4&lt;G4,v_ger+(v_mc-v_ger)*M4/G4,v_mc)))</f>
        <v/>
      </c>
    </row>
    <row r="5">
      <c r="A5" s="5" t="inlineStr">
        <is>
          <t>ANATEL</t>
        </is>
      </c>
      <c r="B5" s="5" t="inlineStr">
        <is>
          <t>PS</t>
        </is>
      </c>
      <c r="C5" s="5" t="n">
        <v>2</v>
      </c>
      <c r="D5" s="5" t="n">
        <v>1</v>
      </c>
      <c r="E5" s="5">
        <f>COUNTIFS(Condições!$C$2:$C$74,$B5,Condições!$E$2:$E$74,"Inicial")</f>
        <v/>
      </c>
      <c r="F5" s="5">
        <f>COUNTIFS(Condições!$C$2:$C$74,$B5,Condições!$E$2:$E$74,"Gerenciado")</f>
        <v/>
      </c>
      <c r="G5" s="5">
        <f>COUNTIFS(Condições!$C$2:$C$74,$B5,Condições!$E$2:$E$74,"Melhoria Contínua")</f>
        <v/>
      </c>
      <c r="H5" s="5">
        <f>COUNTIFS(Avaliação!$A$2:$A$877,$A5,Avaliação!$C$2:$C$877,$B5,Avaliação!$E$2:$E$877,"Inicial",Avaliação!$M$2:$M$877,1)</f>
        <v/>
      </c>
      <c r="I5" s="5">
        <f>COUNTIFS(Avaliação!$A$2:$A$877,$A5,Avaliação!$C$2:$C$877,$B5,Avaliação!$E$2:$E$877,"Gerenciado",Avaliação!$M$2:$M$877,1)</f>
        <v/>
      </c>
      <c r="J5" s="5">
        <f>COUNTIFS(Avaliação!$A$2:$A$877,$A5,Avaliação!$C$2:$C$877,$B5,Avaliação!$E$2:$E$877,"Melhoria Contínua",Avaliação!$M$2:$M$877,1)</f>
        <v/>
      </c>
      <c r="K5" s="5">
        <f>COUNTIFS(Avaliação!$A$2:$A$877,$A5,Avaliação!$C$2:$C$877,$B5,Avaliação!$E$2:$E$877,"Inicial",Avaliação!$N$2:$N$877,1)</f>
        <v/>
      </c>
      <c r="L5" s="5">
        <f>COUNTIFS(Avaliação!$A$2:$A$877,$A5,Avaliação!$C$2:$C$877,$B5,Avaliação!$E$2:$E$877,"Gerenciado",Avaliação!$N$2:$N$877,1)</f>
        <v/>
      </c>
      <c r="M5" s="5">
        <f>COUNTIFS(Avaliação!$A$2:$A$877,$A5,Avaliação!$C$2:$C$877,$B5,Avaliação!$E$2:$E$877,"Melhoria Contínua",Avaliação!$N$2:$N$877,1)</f>
        <v/>
      </c>
      <c r="N5" s="10">
        <f>IF(H5&lt;E5,v_ini*H5/E5,IF(I5&lt;F5,v_ini+(v_ger-v_ini)*I5/F5,IF(J5&lt;G5,v_ger+(v_mc-v_ger)*J5/G5,v_mc)))</f>
        <v/>
      </c>
      <c r="O5" s="10">
        <f>IF(K5&lt;E5,v_ini*K5/E5,IF(L5&lt;F5,v_ini+(v_ger-v_ini)*L5/F5,IF(M5&lt;G5,v_ger+(v_mc-v_ger)*M5/G5,v_mc)))</f>
        <v/>
      </c>
    </row>
    <row r="6">
      <c r="A6" s="5" t="inlineStr">
        <is>
          <t>ANATEL</t>
        </is>
      </c>
      <c r="B6" s="5" t="inlineStr">
        <is>
          <t>EST</t>
        </is>
      </c>
      <c r="C6" s="5" t="n">
        <v>3</v>
      </c>
      <c r="D6" s="5" t="n">
        <v>1</v>
      </c>
      <c r="E6" s="5">
        <f>COUNTIFS(Condições!$C$2:$C$74,$B6,Condições!$E$2:$E$74,"Inicial")</f>
        <v/>
      </c>
      <c r="F6" s="5">
        <f>COUNTIFS(Condições!$C$2:$C$74,$B6,Condições!$E$2:$E$74,"Gerenciado")</f>
        <v/>
      </c>
      <c r="G6" s="5">
        <f>COUNTIFS(Condições!$C$2:$C$74,$B6,Condições!$E$2:$E$74,"Melhoria Contínua")</f>
        <v/>
      </c>
      <c r="H6" s="5">
        <f>COUNTIFS(Avaliação!$A$2:$A$877,$A6,Avaliação!$C$2:$C$877,$B6,Avaliação!$E$2:$E$877,"Inicial",Avaliação!$M$2:$M$877,1)</f>
        <v/>
      </c>
      <c r="I6" s="5">
        <f>COUNTIFS(Avaliação!$A$2:$A$877,$A6,Avaliação!$C$2:$C$877,$B6,Avaliação!$E$2:$E$877,"Gerenciado",Avaliação!$M$2:$M$877,1)</f>
        <v/>
      </c>
      <c r="J6" s="5">
        <f>COUNTIFS(Avaliação!$A$2:$A$877,$A6,Avaliação!$C$2:$C$877,$B6,Avaliação!$E$2:$E$877,"Melhoria Contínua",Avaliação!$M$2:$M$877,1)</f>
        <v/>
      </c>
      <c r="K6" s="5">
        <f>COUNTIFS(Avaliação!$A$2:$A$877,$A6,Avaliação!$C$2:$C$877,$B6,Avaliação!$E$2:$E$877,"Inicial",Avaliação!$N$2:$N$877,1)</f>
        <v/>
      </c>
      <c r="L6" s="5">
        <f>COUNTIFS(Avaliação!$A$2:$A$877,$A6,Avaliação!$C$2:$C$877,$B6,Avaliação!$E$2:$E$877,"Gerenciado",Avaliação!$N$2:$N$877,1)</f>
        <v/>
      </c>
      <c r="M6" s="5">
        <f>COUNTIFS(Avaliação!$A$2:$A$877,$A6,Avaliação!$C$2:$C$877,$B6,Avaliação!$E$2:$E$877,"Melhoria Contínua",Avaliação!$N$2:$N$877,1)</f>
        <v/>
      </c>
      <c r="N6" s="10">
        <f>IF(H6&lt;E6,v_ini*H6/E6,IF(I6&lt;F6,v_ini+(v_ger-v_ini)*I6/F6,IF(J6&lt;G6,v_ger+(v_mc-v_ger)*J6/G6,v_mc)))</f>
        <v/>
      </c>
      <c r="O6" s="10">
        <f>IF(K6&lt;E6,v_ini*K6/E6,IF(L6&lt;F6,v_ini+(v_ger-v_ini)*L6/F6,IF(M6&lt;G6,v_ger+(v_mc-v_ger)*M6/G6,v_mc)))</f>
        <v/>
      </c>
    </row>
    <row r="7">
      <c r="A7" s="5" t="inlineStr">
        <is>
          <t>ANATEL</t>
        </is>
      </c>
      <c r="B7" s="5" t="inlineStr">
        <is>
          <t>AGE</t>
        </is>
      </c>
      <c r="C7" s="5" t="n">
        <v>4</v>
      </c>
      <c r="D7" s="5" t="n">
        <v>1</v>
      </c>
      <c r="E7" s="5">
        <f>COUNTIFS(Condições!$C$2:$C$74,$B7,Condições!$E$2:$E$74,"Inicial")</f>
        <v/>
      </c>
      <c r="F7" s="5">
        <f>COUNTIFS(Condições!$C$2:$C$74,$B7,Condições!$E$2:$E$74,"Gerenciado")</f>
        <v/>
      </c>
      <c r="G7" s="5">
        <f>COUNTIFS(Condições!$C$2:$C$74,$B7,Condições!$E$2:$E$74,"Melhoria Contínua")</f>
        <v/>
      </c>
      <c r="H7" s="5">
        <f>COUNTIFS(Avaliação!$A$2:$A$877,$A7,Avaliação!$C$2:$C$877,$B7,Avaliação!$E$2:$E$877,"Inicial",Avaliação!$M$2:$M$877,1)</f>
        <v/>
      </c>
      <c r="I7" s="5">
        <f>COUNTIFS(Avaliação!$A$2:$A$877,$A7,Avaliação!$C$2:$C$877,$B7,Avaliação!$E$2:$E$877,"Gerenciado",Avaliação!$M$2:$M$877,1)</f>
        <v/>
      </c>
      <c r="J7" s="5">
        <f>COUNTIFS(Avaliação!$A$2:$A$877,$A7,Avaliação!$C$2:$C$877,$B7,Avaliação!$E$2:$E$877,"Melhoria Contínua",Avaliação!$M$2:$M$877,1)</f>
        <v/>
      </c>
      <c r="K7" s="5">
        <f>COUNTIFS(Avaliação!$A$2:$A$877,$A7,Avaliação!$C$2:$C$877,$B7,Avaliação!$E$2:$E$877,"Inicial",Avaliação!$N$2:$N$877,1)</f>
        <v/>
      </c>
      <c r="L7" s="5">
        <f>COUNTIFS(Avaliação!$A$2:$A$877,$A7,Avaliação!$C$2:$C$877,$B7,Avaliação!$E$2:$E$877,"Gerenciado",Avaliação!$N$2:$N$877,1)</f>
        <v/>
      </c>
      <c r="M7" s="5">
        <f>COUNTIFS(Avaliação!$A$2:$A$877,$A7,Avaliação!$C$2:$C$877,$B7,Avaliação!$E$2:$E$877,"Melhoria Contínua",Avaliação!$N$2:$N$877,1)</f>
        <v/>
      </c>
      <c r="N7" s="10">
        <f>IF(H7&lt;E7,v_ini*H7/E7,IF(I7&lt;F7,v_ini+(v_ger-v_ini)*I7/F7,IF(J7&lt;G7,v_ger+(v_mc-v_ger)*J7/G7,v_mc)))</f>
        <v/>
      </c>
      <c r="O7" s="10">
        <f>IF(K7&lt;E7,v_ini*K7/E7,IF(L7&lt;F7,v_ini+(v_ger-v_ini)*L7/F7,IF(M7&lt;G7,v_ger+(v_mc-v_ger)*M7/G7,v_mc)))</f>
        <v/>
      </c>
    </row>
    <row r="8">
      <c r="A8" s="5" t="inlineStr">
        <is>
          <t>ANATEL</t>
        </is>
      </c>
      <c r="B8" s="5" t="inlineStr">
        <is>
          <t>PRO</t>
        </is>
      </c>
      <c r="C8" s="5" t="n">
        <v>5</v>
      </c>
      <c r="D8" s="5" t="n">
        <v>1</v>
      </c>
      <c r="E8" s="5">
        <f>COUNTIFS(Condições!$C$2:$C$74,$B8,Condições!$E$2:$E$74,"Inicial")</f>
        <v/>
      </c>
      <c r="F8" s="5">
        <f>COUNTIFS(Condições!$C$2:$C$74,$B8,Condições!$E$2:$E$74,"Gerenciado")</f>
        <v/>
      </c>
      <c r="G8" s="5">
        <f>COUNTIFS(Condições!$C$2:$C$74,$B8,Condições!$E$2:$E$74,"Melhoria Contínua")</f>
        <v/>
      </c>
      <c r="H8" s="5">
        <f>COUNTIFS(Avaliação!$A$2:$A$877,$A8,Avaliação!$C$2:$C$877,$B8,Avaliação!$E$2:$E$877,"Inicial",Avaliação!$M$2:$M$877,1)</f>
        <v/>
      </c>
      <c r="I8" s="5">
        <f>COUNTIFS(Avaliação!$A$2:$A$877,$A8,Avaliação!$C$2:$C$877,$B8,Avaliação!$E$2:$E$877,"Gerenciado",Avaliação!$M$2:$M$877,1)</f>
        <v/>
      </c>
      <c r="J8" s="5">
        <f>COUNTIFS(Avaliação!$A$2:$A$877,$A8,Avaliação!$C$2:$C$877,$B8,Avaliação!$E$2:$E$877,"Melhoria Contínua",Avaliação!$M$2:$M$877,1)</f>
        <v/>
      </c>
      <c r="K8" s="5">
        <f>COUNTIFS(Avaliação!$A$2:$A$877,$A8,Avaliação!$C$2:$C$877,$B8,Avaliação!$E$2:$E$877,"Inicial",Avaliação!$N$2:$N$877,1)</f>
        <v/>
      </c>
      <c r="L8" s="5">
        <f>COUNTIFS(Avaliação!$A$2:$A$877,$A8,Avaliação!$C$2:$C$877,$B8,Avaliação!$E$2:$E$877,"Gerenciado",Avaliação!$N$2:$N$877,1)</f>
        <v/>
      </c>
      <c r="M8" s="5">
        <f>COUNTIFS(Avaliação!$A$2:$A$877,$A8,Avaliação!$C$2:$C$877,$B8,Avaliação!$E$2:$E$877,"Melhoria Contínua",Avaliação!$N$2:$N$877,1)</f>
        <v/>
      </c>
      <c r="N8" s="10">
        <f>IF(H8&lt;E8,v_ini*H8/E8,IF(I8&lt;F8,v_ini+(v_ger-v_ini)*I8/F8,IF(J8&lt;G8,v_ger+(v_mc-v_ger)*J8/G8,v_mc)))</f>
        <v/>
      </c>
      <c r="O8" s="10">
        <f>IF(K8&lt;E8,v_ini*K8/E8,IF(L8&lt;F8,v_ini+(v_ger-v_ini)*L8/F8,IF(M8&lt;G8,v_ger+(v_mc-v_ger)*M8/G8,v_mc)))</f>
        <v/>
      </c>
    </row>
    <row r="9">
      <c r="A9" s="5" t="inlineStr">
        <is>
          <t>ANATEL</t>
        </is>
      </c>
      <c r="B9" s="5" t="inlineStr">
        <is>
          <t>ARR_CAP</t>
        </is>
      </c>
      <c r="C9" s="5" t="n">
        <v>6</v>
      </c>
      <c r="D9" s="5" t="n">
        <v>0.3</v>
      </c>
      <c r="E9" s="5">
        <f>COUNTIFS(Condições!$C$2:$C$74,$B9,Condições!$E$2:$E$74,"Inicial")</f>
        <v/>
      </c>
      <c r="F9" s="5">
        <f>COUNTIFS(Condições!$C$2:$C$74,$B9,Condições!$E$2:$E$74,"Gerenciado")</f>
        <v/>
      </c>
      <c r="G9" s="5">
        <f>COUNTIFS(Condições!$C$2:$C$74,$B9,Condições!$E$2:$E$74,"Melhoria Contínua")</f>
        <v/>
      </c>
      <c r="H9" s="5">
        <f>COUNTIFS(Avaliação!$A$2:$A$877,$A9,Avaliação!$C$2:$C$877,$B9,Avaliação!$E$2:$E$877,"Inicial",Avaliação!$M$2:$M$877,1)</f>
        <v/>
      </c>
      <c r="I9" s="5">
        <f>COUNTIFS(Avaliação!$A$2:$A$877,$A9,Avaliação!$C$2:$C$877,$B9,Avaliação!$E$2:$E$877,"Gerenciado",Avaliação!$M$2:$M$877,1)</f>
        <v/>
      </c>
      <c r="J9" s="5">
        <f>COUNTIFS(Avaliação!$A$2:$A$877,$A9,Avaliação!$C$2:$C$877,$B9,Avaliação!$E$2:$E$877,"Melhoria Contínua",Avaliação!$M$2:$M$877,1)</f>
        <v/>
      </c>
      <c r="K9" s="5">
        <f>COUNTIFS(Avaliação!$A$2:$A$877,$A9,Avaliação!$C$2:$C$877,$B9,Avaliação!$E$2:$E$877,"Inicial",Avaliação!$N$2:$N$877,1)</f>
        <v/>
      </c>
      <c r="L9" s="5">
        <f>COUNTIFS(Avaliação!$A$2:$A$877,$A9,Avaliação!$C$2:$C$877,$B9,Avaliação!$E$2:$E$877,"Gerenciado",Avaliação!$N$2:$N$877,1)</f>
        <v/>
      </c>
      <c r="M9" s="5">
        <f>COUNTIFS(Avaliação!$A$2:$A$877,$A9,Avaliação!$C$2:$C$877,$B9,Avaliação!$E$2:$E$877,"Melhoria Contínua",Avaliação!$N$2:$N$877,1)</f>
        <v/>
      </c>
      <c r="N9" s="10">
        <f>IF(H9&lt;E9,v_ini*H9/E9,IF(I9&lt;F9,v_ini+(v_ger-v_ini)*I9/F9,IF(J9&lt;G9,v_ger+(v_mc-v_ger)*J9/G9,v_mc)))</f>
        <v/>
      </c>
      <c r="O9" s="10">
        <f>IF(K9&lt;E9,v_ini*K9/E9,IF(L9&lt;F9,v_ini+(v_ger-v_ini)*L9/F9,IF(M9&lt;G9,v_ger+(v_mc-v_ger)*M9/G9,v_mc)))</f>
        <v/>
      </c>
    </row>
    <row r="10">
      <c r="A10" s="5" t="inlineStr">
        <is>
          <t>ANATEL</t>
        </is>
      </c>
      <c r="B10" s="5" t="inlineStr">
        <is>
          <t>ARR_MET</t>
        </is>
      </c>
      <c r="C10" s="5" t="n">
        <v>6</v>
      </c>
      <c r="D10" s="5" t="n">
        <v>0.35</v>
      </c>
      <c r="E10" s="5">
        <f>COUNTIFS(Condições!$C$2:$C$74,$B10,Condições!$E$2:$E$74,"Inicial")</f>
        <v/>
      </c>
      <c r="F10" s="5">
        <f>COUNTIFS(Condições!$C$2:$C$74,$B10,Condições!$E$2:$E$74,"Gerenciado")</f>
        <v/>
      </c>
      <c r="G10" s="5">
        <f>COUNTIFS(Condições!$C$2:$C$74,$B10,Condições!$E$2:$E$74,"Melhoria Contínua")</f>
        <v/>
      </c>
      <c r="H10" s="5">
        <f>COUNTIFS(Avaliação!$A$2:$A$877,$A10,Avaliação!$C$2:$C$877,$B10,Avaliação!$E$2:$E$877,"Inicial",Avaliação!$M$2:$M$877,1)</f>
        <v/>
      </c>
      <c r="I10" s="5">
        <f>COUNTIFS(Avaliação!$A$2:$A$877,$A10,Avaliação!$C$2:$C$877,$B10,Avaliação!$E$2:$E$877,"Gerenciado",Avaliação!$M$2:$M$877,1)</f>
        <v/>
      </c>
      <c r="J10" s="5">
        <f>COUNTIFS(Avaliação!$A$2:$A$877,$A10,Avaliação!$C$2:$C$877,$B10,Avaliação!$E$2:$E$877,"Melhoria Contínua",Avaliação!$M$2:$M$877,1)</f>
        <v/>
      </c>
      <c r="K10" s="5">
        <f>COUNTIFS(Avaliação!$A$2:$A$877,$A10,Avaliação!$C$2:$C$877,$B10,Avaliação!$E$2:$E$877,"Inicial",Avaliação!$N$2:$N$877,1)</f>
        <v/>
      </c>
      <c r="L10" s="5">
        <f>COUNTIFS(Avaliação!$A$2:$A$877,$A10,Avaliação!$C$2:$C$877,$B10,Avaliação!$E$2:$E$877,"Gerenciado",Avaliação!$N$2:$N$877,1)</f>
        <v/>
      </c>
      <c r="M10" s="5">
        <f>COUNTIFS(Avaliação!$A$2:$A$877,$A10,Avaliação!$C$2:$C$877,$B10,Avaliação!$E$2:$E$877,"Melhoria Contínua",Avaliação!$N$2:$N$877,1)</f>
        <v/>
      </c>
      <c r="N10" s="10">
        <f>IF(H10&lt;E10,v_ini*H10/E10,IF(I10&lt;F10,v_ini+(v_ger-v_ini)*I10/F10,IF(J10&lt;G10,v_ger+(v_mc-v_ger)*J10/G10,v_mc)))</f>
        <v/>
      </c>
      <c r="O10" s="10">
        <f>IF(K10&lt;E10,v_ini*K10/E10,IF(L10&lt;F10,v_ini+(v_ger-v_ini)*L10/F10,IF(M10&lt;G10,v_ger+(v_mc-v_ger)*M10/G10,v_mc)))</f>
        <v/>
      </c>
    </row>
    <row r="11">
      <c r="A11" s="5" t="inlineStr">
        <is>
          <t>ANATEL</t>
        </is>
      </c>
      <c r="B11" s="5" t="inlineStr">
        <is>
          <t>ARR_PRO</t>
        </is>
      </c>
      <c r="C11" s="5" t="n">
        <v>6</v>
      </c>
      <c r="D11" s="5" t="n">
        <v>0.35</v>
      </c>
      <c r="E11" s="5">
        <f>COUNTIFS(Condições!$C$2:$C$74,$B11,Condições!$E$2:$E$74,"Inicial")</f>
        <v/>
      </c>
      <c r="F11" s="5">
        <f>COUNTIFS(Condições!$C$2:$C$74,$B11,Condições!$E$2:$E$74,"Gerenciado")</f>
        <v/>
      </c>
      <c r="G11" s="5">
        <f>COUNTIFS(Condições!$C$2:$C$74,$B11,Condições!$E$2:$E$74,"Melhoria Contínua")</f>
        <v/>
      </c>
      <c r="H11" s="5">
        <f>COUNTIFS(Avaliação!$A$2:$A$877,$A11,Avaliação!$C$2:$C$877,$B11,Avaliação!$E$2:$E$877,"Inicial",Avaliação!$M$2:$M$877,1)</f>
        <v/>
      </c>
      <c r="I11" s="5">
        <f>COUNTIFS(Avaliação!$A$2:$A$877,$A11,Avaliação!$C$2:$C$877,$B11,Avaliação!$E$2:$E$877,"Gerenciado",Avaliação!$M$2:$M$877,1)</f>
        <v/>
      </c>
      <c r="J11" s="5">
        <f>COUNTIFS(Avaliação!$A$2:$A$877,$A11,Avaliação!$C$2:$C$877,$B11,Avaliação!$E$2:$E$877,"Melhoria Contínua",Avaliação!$M$2:$M$877,1)</f>
        <v/>
      </c>
      <c r="K11" s="5">
        <f>COUNTIFS(Avaliação!$A$2:$A$877,$A11,Avaliação!$C$2:$C$877,$B11,Avaliação!$E$2:$E$877,"Inicial",Avaliação!$N$2:$N$877,1)</f>
        <v/>
      </c>
      <c r="L11" s="5">
        <f>COUNTIFS(Avaliação!$A$2:$A$877,$A11,Avaliação!$C$2:$C$877,$B11,Avaliação!$E$2:$E$877,"Gerenciado",Avaliação!$N$2:$N$877,1)</f>
        <v/>
      </c>
      <c r="M11" s="5">
        <f>COUNTIFS(Avaliação!$A$2:$A$877,$A11,Avaliação!$C$2:$C$877,$B11,Avaliação!$E$2:$E$877,"Melhoria Contínua",Avaliação!$N$2:$N$877,1)</f>
        <v/>
      </c>
      <c r="N11" s="10">
        <f>IF(H11&lt;E11,v_ini*H11/E11,IF(I11&lt;F11,v_ini+(v_ger-v_ini)*I11/F11,IF(J11&lt;G11,v_ger+(v_mc-v_ger)*J11/G11,v_mc)))</f>
        <v/>
      </c>
      <c r="O11" s="10">
        <f>IF(K11&lt;E11,v_ini*K11/E11,IF(L11&lt;F11,v_ini+(v_ger-v_ini)*L11/F11,IF(M11&lt;G11,v_ger+(v_mc-v_ger)*M11/G11,v_mc)))</f>
        <v/>
      </c>
    </row>
    <row r="12">
      <c r="A12" s="5" t="inlineStr">
        <is>
          <t>ANVISA</t>
        </is>
      </c>
      <c r="B12" s="5" t="inlineStr">
        <is>
          <t>AIR_CAP</t>
        </is>
      </c>
      <c r="C12" s="5" t="n">
        <v>1</v>
      </c>
      <c r="D12" s="5" t="n">
        <v>0.3</v>
      </c>
      <c r="E12" s="5">
        <f>COUNTIFS(Condições!$C$2:$C$74,$B12,Condições!$E$2:$E$74,"Inicial")</f>
        <v/>
      </c>
      <c r="F12" s="5">
        <f>COUNTIFS(Condições!$C$2:$C$74,$B12,Condições!$E$2:$E$74,"Gerenciado")</f>
        <v/>
      </c>
      <c r="G12" s="5">
        <f>COUNTIFS(Condições!$C$2:$C$74,$B12,Condições!$E$2:$E$74,"Melhoria Contínua")</f>
        <v/>
      </c>
      <c r="H12" s="5">
        <f>COUNTIFS(Avaliação!$A$2:$A$877,$A12,Avaliação!$C$2:$C$877,$B12,Avaliação!$E$2:$E$877,"Inicial",Avaliação!$M$2:$M$877,1)</f>
        <v/>
      </c>
      <c r="I12" s="5">
        <f>COUNTIFS(Avaliação!$A$2:$A$877,$A12,Avaliação!$C$2:$C$877,$B12,Avaliação!$E$2:$E$877,"Gerenciado",Avaliação!$M$2:$M$877,1)</f>
        <v/>
      </c>
      <c r="J12" s="5">
        <f>COUNTIFS(Avaliação!$A$2:$A$877,$A12,Avaliação!$C$2:$C$877,$B12,Avaliação!$E$2:$E$877,"Melhoria Contínua",Avaliação!$M$2:$M$877,1)</f>
        <v/>
      </c>
      <c r="K12" s="5">
        <f>COUNTIFS(Avaliação!$A$2:$A$877,$A12,Avaliação!$C$2:$C$877,$B12,Avaliação!$E$2:$E$877,"Inicial",Avaliação!$N$2:$N$877,1)</f>
        <v/>
      </c>
      <c r="L12" s="5">
        <f>COUNTIFS(Avaliação!$A$2:$A$877,$A12,Avaliação!$C$2:$C$877,$B12,Avaliação!$E$2:$E$877,"Gerenciado",Avaliação!$N$2:$N$877,1)</f>
        <v/>
      </c>
      <c r="M12" s="5">
        <f>COUNTIFS(Avaliação!$A$2:$A$877,$A12,Avaliação!$C$2:$C$877,$B12,Avaliação!$E$2:$E$877,"Melhoria Contínua",Avaliação!$N$2:$N$877,1)</f>
        <v/>
      </c>
      <c r="N12" s="10">
        <f>IF(H12&lt;E12,v_ini*H12/E12,IF(I12&lt;F12,v_ini+(v_ger-v_ini)*I12/F12,IF(J12&lt;G12,v_ger+(v_mc-v_ger)*J12/G12,v_mc)))</f>
        <v/>
      </c>
      <c r="O12" s="10">
        <f>IF(K12&lt;E12,v_ini*K12/E12,IF(L12&lt;F12,v_ini+(v_ger-v_ini)*L12/F12,IF(M12&lt;G12,v_ger+(v_mc-v_ger)*M12/G12,v_mc)))</f>
        <v/>
      </c>
    </row>
    <row r="13">
      <c r="A13" s="5" t="inlineStr">
        <is>
          <t>ANVISA</t>
        </is>
      </c>
      <c r="B13" s="5" t="inlineStr">
        <is>
          <t>AIR_MET</t>
        </is>
      </c>
      <c r="C13" s="5" t="n">
        <v>1</v>
      </c>
      <c r="D13" s="5" t="n">
        <v>0.35</v>
      </c>
      <c r="E13" s="5">
        <f>COUNTIFS(Condições!$C$2:$C$74,$B13,Condições!$E$2:$E$74,"Inicial")</f>
        <v/>
      </c>
      <c r="F13" s="5">
        <f>COUNTIFS(Condições!$C$2:$C$74,$B13,Condições!$E$2:$E$74,"Gerenciado")</f>
        <v/>
      </c>
      <c r="G13" s="5">
        <f>COUNTIFS(Condições!$C$2:$C$74,$B13,Condições!$E$2:$E$74,"Melhoria Contínua")</f>
        <v/>
      </c>
      <c r="H13" s="5">
        <f>COUNTIFS(Avaliação!$A$2:$A$877,$A13,Avaliação!$C$2:$C$877,$B13,Avaliação!$E$2:$E$877,"Inicial",Avaliação!$M$2:$M$877,1)</f>
        <v/>
      </c>
      <c r="I13" s="5">
        <f>COUNTIFS(Avaliação!$A$2:$A$877,$A13,Avaliação!$C$2:$C$877,$B13,Avaliação!$E$2:$E$877,"Gerenciado",Avaliação!$M$2:$M$877,1)</f>
        <v/>
      </c>
      <c r="J13" s="5">
        <f>COUNTIFS(Avaliação!$A$2:$A$877,$A13,Avaliação!$C$2:$C$877,$B13,Avaliação!$E$2:$E$877,"Melhoria Contínua",Avaliação!$M$2:$M$877,1)</f>
        <v/>
      </c>
      <c r="K13" s="5">
        <f>COUNTIFS(Avaliação!$A$2:$A$877,$A13,Avaliação!$C$2:$C$877,$B13,Avaliação!$E$2:$E$877,"Inicial",Avaliação!$N$2:$N$877,1)</f>
        <v/>
      </c>
      <c r="L13" s="5">
        <f>COUNTIFS(Avaliação!$A$2:$A$877,$A13,Avaliação!$C$2:$C$877,$B13,Avaliação!$E$2:$E$877,"Gerenciado",Avaliação!$N$2:$N$877,1)</f>
        <v/>
      </c>
      <c r="M13" s="5">
        <f>COUNTIFS(Avaliação!$A$2:$A$877,$A13,Avaliação!$C$2:$C$877,$B13,Avaliação!$E$2:$E$877,"Melhoria Contínua",Avaliação!$N$2:$N$877,1)</f>
        <v/>
      </c>
      <c r="N13" s="10">
        <f>IF(H13&lt;E13,v_ini*H13/E13,IF(I13&lt;F13,v_ini+(v_ger-v_ini)*I13/F13,IF(J13&lt;G13,v_ger+(v_mc-v_ger)*J13/G13,v_mc)))</f>
        <v/>
      </c>
      <c r="O13" s="10">
        <f>IF(K13&lt;E13,v_ini*K13/E13,IF(L13&lt;F13,v_ini+(v_ger-v_ini)*L13/F13,IF(M13&lt;G13,v_ger+(v_mc-v_ger)*M13/G13,v_mc)))</f>
        <v/>
      </c>
    </row>
    <row r="14">
      <c r="A14" s="5" t="inlineStr">
        <is>
          <t>ANVISA</t>
        </is>
      </c>
      <c r="B14" s="5" t="inlineStr">
        <is>
          <t>AIR_PRO</t>
        </is>
      </c>
      <c r="C14" s="5" t="n">
        <v>1</v>
      </c>
      <c r="D14" s="5" t="n">
        <v>0.35</v>
      </c>
      <c r="E14" s="5">
        <f>COUNTIFS(Condições!$C$2:$C$74,$B14,Condições!$E$2:$E$74,"Inicial")</f>
        <v/>
      </c>
      <c r="F14" s="5">
        <f>COUNTIFS(Condições!$C$2:$C$74,$B14,Condições!$E$2:$E$74,"Gerenciado")</f>
        <v/>
      </c>
      <c r="G14" s="5">
        <f>COUNTIFS(Condições!$C$2:$C$74,$B14,Condições!$E$2:$E$74,"Melhoria Contínua")</f>
        <v/>
      </c>
      <c r="H14" s="5">
        <f>COUNTIFS(Avaliação!$A$2:$A$877,$A14,Avaliação!$C$2:$C$877,$B14,Avaliação!$E$2:$E$877,"Inicial",Avaliação!$M$2:$M$877,1)</f>
        <v/>
      </c>
      <c r="I14" s="5">
        <f>COUNTIFS(Avaliação!$A$2:$A$877,$A14,Avaliação!$C$2:$C$877,$B14,Avaliação!$E$2:$E$877,"Gerenciado",Avaliação!$M$2:$M$877,1)</f>
        <v/>
      </c>
      <c r="J14" s="5">
        <f>COUNTIFS(Avaliação!$A$2:$A$877,$A14,Avaliação!$C$2:$C$877,$B14,Avaliação!$E$2:$E$877,"Melhoria Contínua",Avaliação!$M$2:$M$877,1)</f>
        <v/>
      </c>
      <c r="K14" s="5">
        <f>COUNTIFS(Avaliação!$A$2:$A$877,$A14,Avaliação!$C$2:$C$877,$B14,Avaliação!$E$2:$E$877,"Inicial",Avaliação!$N$2:$N$877,1)</f>
        <v/>
      </c>
      <c r="L14" s="5">
        <f>COUNTIFS(Avaliação!$A$2:$A$877,$A14,Avaliação!$C$2:$C$877,$B14,Avaliação!$E$2:$E$877,"Gerenciado",Avaliação!$N$2:$N$877,1)</f>
        <v/>
      </c>
      <c r="M14" s="5">
        <f>COUNTIFS(Avaliação!$A$2:$A$877,$A14,Avaliação!$C$2:$C$877,$B14,Avaliação!$E$2:$E$877,"Melhoria Contínua",Avaliação!$N$2:$N$877,1)</f>
        <v/>
      </c>
      <c r="N14" s="10">
        <f>IF(H14&lt;E14,v_ini*H14/E14,IF(I14&lt;F14,v_ini+(v_ger-v_ini)*I14/F14,IF(J14&lt;G14,v_ger+(v_mc-v_ger)*J14/G14,v_mc)))</f>
        <v/>
      </c>
      <c r="O14" s="10">
        <f>IF(K14&lt;E14,v_ini*K14/E14,IF(L14&lt;F14,v_ini+(v_ger-v_ini)*L14/F14,IF(M14&lt;G14,v_ger+(v_mc-v_ger)*M14/G14,v_mc)))</f>
        <v/>
      </c>
    </row>
    <row r="15">
      <c r="A15" s="5" t="inlineStr">
        <is>
          <t>ANVISA</t>
        </is>
      </c>
      <c r="B15" s="5" t="inlineStr">
        <is>
          <t>PS</t>
        </is>
      </c>
      <c r="C15" s="5" t="n">
        <v>2</v>
      </c>
      <c r="D15" s="5" t="n">
        <v>1</v>
      </c>
      <c r="E15" s="5">
        <f>COUNTIFS(Condições!$C$2:$C$74,$B15,Condições!$E$2:$E$74,"Inicial")</f>
        <v/>
      </c>
      <c r="F15" s="5">
        <f>COUNTIFS(Condições!$C$2:$C$74,$B15,Condições!$E$2:$E$74,"Gerenciado")</f>
        <v/>
      </c>
      <c r="G15" s="5">
        <f>COUNTIFS(Condições!$C$2:$C$74,$B15,Condições!$E$2:$E$74,"Melhoria Contínua")</f>
        <v/>
      </c>
      <c r="H15" s="5">
        <f>COUNTIFS(Avaliação!$A$2:$A$877,$A15,Avaliação!$C$2:$C$877,$B15,Avaliação!$E$2:$E$877,"Inicial",Avaliação!$M$2:$M$877,1)</f>
        <v/>
      </c>
      <c r="I15" s="5">
        <f>COUNTIFS(Avaliação!$A$2:$A$877,$A15,Avaliação!$C$2:$C$877,$B15,Avaliação!$E$2:$E$877,"Gerenciado",Avaliação!$M$2:$M$877,1)</f>
        <v/>
      </c>
      <c r="J15" s="5">
        <f>COUNTIFS(Avaliação!$A$2:$A$877,$A15,Avaliação!$C$2:$C$877,$B15,Avaliação!$E$2:$E$877,"Melhoria Contínua",Avaliação!$M$2:$M$877,1)</f>
        <v/>
      </c>
      <c r="K15" s="5">
        <f>COUNTIFS(Avaliação!$A$2:$A$877,$A15,Avaliação!$C$2:$C$877,$B15,Avaliação!$E$2:$E$877,"Inicial",Avaliação!$N$2:$N$877,1)</f>
        <v/>
      </c>
      <c r="L15" s="5">
        <f>COUNTIFS(Avaliação!$A$2:$A$877,$A15,Avaliação!$C$2:$C$877,$B15,Avaliação!$E$2:$E$877,"Gerenciado",Avaliação!$N$2:$N$877,1)</f>
        <v/>
      </c>
      <c r="M15" s="5">
        <f>COUNTIFS(Avaliação!$A$2:$A$877,$A15,Avaliação!$C$2:$C$877,$B15,Avaliação!$E$2:$E$877,"Melhoria Contínua",Avaliação!$N$2:$N$877,1)</f>
        <v/>
      </c>
      <c r="N15" s="10">
        <f>IF(H15&lt;E15,v_ini*H15/E15,IF(I15&lt;F15,v_ini+(v_ger-v_ini)*I15/F15,IF(J15&lt;G15,v_ger+(v_mc-v_ger)*J15/G15,v_mc)))</f>
        <v/>
      </c>
      <c r="O15" s="10">
        <f>IF(K15&lt;E15,v_ini*K15/E15,IF(L15&lt;F15,v_ini+(v_ger-v_ini)*L15/F15,IF(M15&lt;G15,v_ger+(v_mc-v_ger)*M15/G15,v_mc)))</f>
        <v/>
      </c>
    </row>
    <row r="16">
      <c r="A16" s="5" t="inlineStr">
        <is>
          <t>ANVISA</t>
        </is>
      </c>
      <c r="B16" s="5" t="inlineStr">
        <is>
          <t>EST</t>
        </is>
      </c>
      <c r="C16" s="5" t="n">
        <v>3</v>
      </c>
      <c r="D16" s="5" t="n">
        <v>1</v>
      </c>
      <c r="E16" s="5">
        <f>COUNTIFS(Condições!$C$2:$C$74,$B16,Condições!$E$2:$E$74,"Inicial")</f>
        <v/>
      </c>
      <c r="F16" s="5">
        <f>COUNTIFS(Condições!$C$2:$C$74,$B16,Condições!$E$2:$E$74,"Gerenciado")</f>
        <v/>
      </c>
      <c r="G16" s="5">
        <f>COUNTIFS(Condições!$C$2:$C$74,$B16,Condições!$E$2:$E$74,"Melhoria Contínua")</f>
        <v/>
      </c>
      <c r="H16" s="5">
        <f>COUNTIFS(Avaliação!$A$2:$A$877,$A16,Avaliação!$C$2:$C$877,$B16,Avaliação!$E$2:$E$877,"Inicial",Avaliação!$M$2:$M$877,1)</f>
        <v/>
      </c>
      <c r="I16" s="5">
        <f>COUNTIFS(Avaliação!$A$2:$A$877,$A16,Avaliação!$C$2:$C$877,$B16,Avaliação!$E$2:$E$877,"Gerenciado",Avaliação!$M$2:$M$877,1)</f>
        <v/>
      </c>
      <c r="J16" s="5">
        <f>COUNTIFS(Avaliação!$A$2:$A$877,$A16,Avaliação!$C$2:$C$877,$B16,Avaliação!$E$2:$E$877,"Melhoria Contínua",Avaliação!$M$2:$M$877,1)</f>
        <v/>
      </c>
      <c r="K16" s="5">
        <f>COUNTIFS(Avaliação!$A$2:$A$877,$A16,Avaliação!$C$2:$C$877,$B16,Avaliação!$E$2:$E$877,"Inicial",Avaliação!$N$2:$N$877,1)</f>
        <v/>
      </c>
      <c r="L16" s="5">
        <f>COUNTIFS(Avaliação!$A$2:$A$877,$A16,Avaliação!$C$2:$C$877,$B16,Avaliação!$E$2:$E$877,"Gerenciado",Avaliação!$N$2:$N$877,1)</f>
        <v/>
      </c>
      <c r="M16" s="5">
        <f>COUNTIFS(Avaliação!$A$2:$A$877,$A16,Avaliação!$C$2:$C$877,$B16,Avaliação!$E$2:$E$877,"Melhoria Contínua",Avaliação!$N$2:$N$877,1)</f>
        <v/>
      </c>
      <c r="N16" s="10">
        <f>IF(H16&lt;E16,v_ini*H16/E16,IF(I16&lt;F16,v_ini+(v_ger-v_ini)*I16/F16,IF(J16&lt;G16,v_ger+(v_mc-v_ger)*J16/G16,v_mc)))</f>
        <v/>
      </c>
      <c r="O16" s="10">
        <f>IF(K16&lt;E16,v_ini*K16/E16,IF(L16&lt;F16,v_ini+(v_ger-v_ini)*L16/F16,IF(M16&lt;G16,v_ger+(v_mc-v_ger)*M16/G16,v_mc)))</f>
        <v/>
      </c>
    </row>
    <row r="17">
      <c r="A17" s="5" t="inlineStr">
        <is>
          <t>ANVISA</t>
        </is>
      </c>
      <c r="B17" s="5" t="inlineStr">
        <is>
          <t>AGE</t>
        </is>
      </c>
      <c r="C17" s="5" t="n">
        <v>4</v>
      </c>
      <c r="D17" s="5" t="n">
        <v>1</v>
      </c>
      <c r="E17" s="5">
        <f>COUNTIFS(Condições!$C$2:$C$74,$B17,Condições!$E$2:$E$74,"Inicial")</f>
        <v/>
      </c>
      <c r="F17" s="5">
        <f>COUNTIFS(Condições!$C$2:$C$74,$B17,Condições!$E$2:$E$74,"Gerenciado")</f>
        <v/>
      </c>
      <c r="G17" s="5">
        <f>COUNTIFS(Condições!$C$2:$C$74,$B17,Condições!$E$2:$E$74,"Melhoria Contínua")</f>
        <v/>
      </c>
      <c r="H17" s="5">
        <f>COUNTIFS(Avaliação!$A$2:$A$877,$A17,Avaliação!$C$2:$C$877,$B17,Avaliação!$E$2:$E$877,"Inicial",Avaliação!$M$2:$M$877,1)</f>
        <v/>
      </c>
      <c r="I17" s="5">
        <f>COUNTIFS(Avaliação!$A$2:$A$877,$A17,Avaliação!$C$2:$C$877,$B17,Avaliação!$E$2:$E$877,"Gerenciado",Avaliação!$M$2:$M$877,1)</f>
        <v/>
      </c>
      <c r="J17" s="5">
        <f>COUNTIFS(Avaliação!$A$2:$A$877,$A17,Avaliação!$C$2:$C$877,$B17,Avaliação!$E$2:$E$877,"Melhoria Contínua",Avaliação!$M$2:$M$877,1)</f>
        <v/>
      </c>
      <c r="K17" s="5">
        <f>COUNTIFS(Avaliação!$A$2:$A$877,$A17,Avaliação!$C$2:$C$877,$B17,Avaliação!$E$2:$E$877,"Inicial",Avaliação!$N$2:$N$877,1)</f>
        <v/>
      </c>
      <c r="L17" s="5">
        <f>COUNTIFS(Avaliação!$A$2:$A$877,$A17,Avaliação!$C$2:$C$877,$B17,Avaliação!$E$2:$E$877,"Gerenciado",Avaliação!$N$2:$N$877,1)</f>
        <v/>
      </c>
      <c r="M17" s="5">
        <f>COUNTIFS(Avaliação!$A$2:$A$877,$A17,Avaliação!$C$2:$C$877,$B17,Avaliação!$E$2:$E$877,"Melhoria Contínua",Avaliação!$N$2:$N$877,1)</f>
        <v/>
      </c>
      <c r="N17" s="10">
        <f>IF(H17&lt;E17,v_ini*H17/E17,IF(I17&lt;F17,v_ini+(v_ger-v_ini)*I17/F17,IF(J17&lt;G17,v_ger+(v_mc-v_ger)*J17/G17,v_mc)))</f>
        <v/>
      </c>
      <c r="O17" s="10">
        <f>IF(K17&lt;E17,v_ini*K17/E17,IF(L17&lt;F17,v_ini+(v_ger-v_ini)*L17/F17,IF(M17&lt;G17,v_ger+(v_mc-v_ger)*M17/G17,v_mc)))</f>
        <v/>
      </c>
    </row>
    <row r="18">
      <c r="A18" s="5" t="inlineStr">
        <is>
          <t>ANVISA</t>
        </is>
      </c>
      <c r="B18" s="5" t="inlineStr">
        <is>
          <t>PRO</t>
        </is>
      </c>
      <c r="C18" s="5" t="n">
        <v>5</v>
      </c>
      <c r="D18" s="5" t="n">
        <v>1</v>
      </c>
      <c r="E18" s="5">
        <f>COUNTIFS(Condições!$C$2:$C$74,$B18,Condições!$E$2:$E$74,"Inicial")</f>
        <v/>
      </c>
      <c r="F18" s="5">
        <f>COUNTIFS(Condições!$C$2:$C$74,$B18,Condições!$E$2:$E$74,"Gerenciado")</f>
        <v/>
      </c>
      <c r="G18" s="5">
        <f>COUNTIFS(Condições!$C$2:$C$74,$B18,Condições!$E$2:$E$74,"Melhoria Contínua")</f>
        <v/>
      </c>
      <c r="H18" s="5">
        <f>COUNTIFS(Avaliação!$A$2:$A$877,$A18,Avaliação!$C$2:$C$877,$B18,Avaliação!$E$2:$E$877,"Inicial",Avaliação!$M$2:$M$877,1)</f>
        <v/>
      </c>
      <c r="I18" s="5">
        <f>COUNTIFS(Avaliação!$A$2:$A$877,$A18,Avaliação!$C$2:$C$877,$B18,Avaliação!$E$2:$E$877,"Gerenciado",Avaliação!$M$2:$M$877,1)</f>
        <v/>
      </c>
      <c r="J18" s="5">
        <f>COUNTIFS(Avaliação!$A$2:$A$877,$A18,Avaliação!$C$2:$C$877,$B18,Avaliação!$E$2:$E$877,"Melhoria Contínua",Avaliação!$M$2:$M$877,1)</f>
        <v/>
      </c>
      <c r="K18" s="5">
        <f>COUNTIFS(Avaliação!$A$2:$A$877,$A18,Avaliação!$C$2:$C$877,$B18,Avaliação!$E$2:$E$877,"Inicial",Avaliação!$N$2:$N$877,1)</f>
        <v/>
      </c>
      <c r="L18" s="5">
        <f>COUNTIFS(Avaliação!$A$2:$A$877,$A18,Avaliação!$C$2:$C$877,$B18,Avaliação!$E$2:$E$877,"Gerenciado",Avaliação!$N$2:$N$877,1)</f>
        <v/>
      </c>
      <c r="M18" s="5">
        <f>COUNTIFS(Avaliação!$A$2:$A$877,$A18,Avaliação!$C$2:$C$877,$B18,Avaliação!$E$2:$E$877,"Melhoria Contínua",Avaliação!$N$2:$N$877,1)</f>
        <v/>
      </c>
      <c r="N18" s="10">
        <f>IF(H18&lt;E18,v_ini*H18/E18,IF(I18&lt;F18,v_ini+(v_ger-v_ini)*I18/F18,IF(J18&lt;G18,v_ger+(v_mc-v_ger)*J18/G18,v_mc)))</f>
        <v/>
      </c>
      <c r="O18" s="10">
        <f>IF(K18&lt;E18,v_ini*K18/E18,IF(L18&lt;F18,v_ini+(v_ger-v_ini)*L18/F18,IF(M18&lt;G18,v_ger+(v_mc-v_ger)*M18/G18,v_mc)))</f>
        <v/>
      </c>
    </row>
    <row r="19">
      <c r="A19" s="5" t="inlineStr">
        <is>
          <t>ANVISA</t>
        </is>
      </c>
      <c r="B19" s="5" t="inlineStr">
        <is>
          <t>ARR_CAP</t>
        </is>
      </c>
      <c r="C19" s="5" t="n">
        <v>6</v>
      </c>
      <c r="D19" s="5" t="n">
        <v>0.3</v>
      </c>
      <c r="E19" s="5">
        <f>COUNTIFS(Condições!$C$2:$C$74,$B19,Condições!$E$2:$E$74,"Inicial")</f>
        <v/>
      </c>
      <c r="F19" s="5">
        <f>COUNTIFS(Condições!$C$2:$C$74,$B19,Condições!$E$2:$E$74,"Gerenciado")</f>
        <v/>
      </c>
      <c r="G19" s="5">
        <f>COUNTIFS(Condições!$C$2:$C$74,$B19,Condições!$E$2:$E$74,"Melhoria Contínua")</f>
        <v/>
      </c>
      <c r="H19" s="5">
        <f>COUNTIFS(Avaliação!$A$2:$A$877,$A19,Avaliação!$C$2:$C$877,$B19,Avaliação!$E$2:$E$877,"Inicial",Avaliação!$M$2:$M$877,1)</f>
        <v/>
      </c>
      <c r="I19" s="5">
        <f>COUNTIFS(Avaliação!$A$2:$A$877,$A19,Avaliação!$C$2:$C$877,$B19,Avaliação!$E$2:$E$877,"Gerenciado",Avaliação!$M$2:$M$877,1)</f>
        <v/>
      </c>
      <c r="J19" s="5">
        <f>COUNTIFS(Avaliação!$A$2:$A$877,$A19,Avaliação!$C$2:$C$877,$B19,Avaliação!$E$2:$E$877,"Melhoria Contínua",Avaliação!$M$2:$M$877,1)</f>
        <v/>
      </c>
      <c r="K19" s="5">
        <f>COUNTIFS(Avaliação!$A$2:$A$877,$A19,Avaliação!$C$2:$C$877,$B19,Avaliação!$E$2:$E$877,"Inicial",Avaliação!$N$2:$N$877,1)</f>
        <v/>
      </c>
      <c r="L19" s="5">
        <f>COUNTIFS(Avaliação!$A$2:$A$877,$A19,Avaliação!$C$2:$C$877,$B19,Avaliação!$E$2:$E$877,"Gerenciado",Avaliação!$N$2:$N$877,1)</f>
        <v/>
      </c>
      <c r="M19" s="5">
        <f>COUNTIFS(Avaliação!$A$2:$A$877,$A19,Avaliação!$C$2:$C$877,$B19,Avaliação!$E$2:$E$877,"Melhoria Contínua",Avaliação!$N$2:$N$877,1)</f>
        <v/>
      </c>
      <c r="N19" s="10">
        <f>IF(H19&lt;E19,v_ini*H19/E19,IF(I19&lt;F19,v_ini+(v_ger-v_ini)*I19/F19,IF(J19&lt;G19,v_ger+(v_mc-v_ger)*J19/G19,v_mc)))</f>
        <v/>
      </c>
      <c r="O19" s="10">
        <f>IF(K19&lt;E19,v_ini*K19/E19,IF(L19&lt;F19,v_ini+(v_ger-v_ini)*L19/F19,IF(M19&lt;G19,v_ger+(v_mc-v_ger)*M19/G19,v_mc)))</f>
        <v/>
      </c>
    </row>
    <row r="20">
      <c r="A20" s="5" t="inlineStr">
        <is>
          <t>ANVISA</t>
        </is>
      </c>
      <c r="B20" s="5" t="inlineStr">
        <is>
          <t>ARR_MET</t>
        </is>
      </c>
      <c r="C20" s="5" t="n">
        <v>6</v>
      </c>
      <c r="D20" s="5" t="n">
        <v>0.35</v>
      </c>
      <c r="E20" s="5">
        <f>COUNTIFS(Condições!$C$2:$C$74,$B20,Condições!$E$2:$E$74,"Inicial")</f>
        <v/>
      </c>
      <c r="F20" s="5">
        <f>COUNTIFS(Condições!$C$2:$C$74,$B20,Condições!$E$2:$E$74,"Gerenciado")</f>
        <v/>
      </c>
      <c r="G20" s="5">
        <f>COUNTIFS(Condições!$C$2:$C$74,$B20,Condições!$E$2:$E$74,"Melhoria Contínua")</f>
        <v/>
      </c>
      <c r="H20" s="5">
        <f>COUNTIFS(Avaliação!$A$2:$A$877,$A20,Avaliação!$C$2:$C$877,$B20,Avaliação!$E$2:$E$877,"Inicial",Avaliação!$M$2:$M$877,1)</f>
        <v/>
      </c>
      <c r="I20" s="5">
        <f>COUNTIFS(Avaliação!$A$2:$A$877,$A20,Avaliação!$C$2:$C$877,$B20,Avaliação!$E$2:$E$877,"Gerenciado",Avaliação!$M$2:$M$877,1)</f>
        <v/>
      </c>
      <c r="J20" s="5">
        <f>COUNTIFS(Avaliação!$A$2:$A$877,$A20,Avaliação!$C$2:$C$877,$B20,Avaliação!$E$2:$E$877,"Melhoria Contínua",Avaliação!$M$2:$M$877,1)</f>
        <v/>
      </c>
      <c r="K20" s="5">
        <f>COUNTIFS(Avaliação!$A$2:$A$877,$A20,Avaliação!$C$2:$C$877,$B20,Avaliação!$E$2:$E$877,"Inicial",Avaliação!$N$2:$N$877,1)</f>
        <v/>
      </c>
      <c r="L20" s="5">
        <f>COUNTIFS(Avaliação!$A$2:$A$877,$A20,Avaliação!$C$2:$C$877,$B20,Avaliação!$E$2:$E$877,"Gerenciado",Avaliação!$N$2:$N$877,1)</f>
        <v/>
      </c>
      <c r="M20" s="5">
        <f>COUNTIFS(Avaliação!$A$2:$A$877,$A20,Avaliação!$C$2:$C$877,$B20,Avaliação!$E$2:$E$877,"Melhoria Contínua",Avaliação!$N$2:$N$877,1)</f>
        <v/>
      </c>
      <c r="N20" s="10">
        <f>IF(H20&lt;E20,v_ini*H20/E20,IF(I20&lt;F20,v_ini+(v_ger-v_ini)*I20/F20,IF(J20&lt;G20,v_ger+(v_mc-v_ger)*J20/G20,v_mc)))</f>
        <v/>
      </c>
      <c r="O20" s="10">
        <f>IF(K20&lt;E20,v_ini*K20/E20,IF(L20&lt;F20,v_ini+(v_ger-v_ini)*L20/F20,IF(M20&lt;G20,v_ger+(v_mc-v_ger)*M20/G20,v_mc)))</f>
        <v/>
      </c>
    </row>
    <row r="21">
      <c r="A21" s="5" t="inlineStr">
        <is>
          <t>ANVISA</t>
        </is>
      </c>
      <c r="B21" s="5" t="inlineStr">
        <is>
          <t>ARR_PRO</t>
        </is>
      </c>
      <c r="C21" s="5" t="n">
        <v>6</v>
      </c>
      <c r="D21" s="5" t="n">
        <v>0.35</v>
      </c>
      <c r="E21" s="5">
        <f>COUNTIFS(Condições!$C$2:$C$74,$B21,Condições!$E$2:$E$74,"Inicial")</f>
        <v/>
      </c>
      <c r="F21" s="5">
        <f>COUNTIFS(Condições!$C$2:$C$74,$B21,Condições!$E$2:$E$74,"Gerenciado")</f>
        <v/>
      </c>
      <c r="G21" s="5">
        <f>COUNTIFS(Condições!$C$2:$C$74,$B21,Condições!$E$2:$E$74,"Melhoria Contínua")</f>
        <v/>
      </c>
      <c r="H21" s="5">
        <f>COUNTIFS(Avaliação!$A$2:$A$877,$A21,Avaliação!$C$2:$C$877,$B21,Avaliação!$E$2:$E$877,"Inicial",Avaliação!$M$2:$M$877,1)</f>
        <v/>
      </c>
      <c r="I21" s="5">
        <f>COUNTIFS(Avaliação!$A$2:$A$877,$A21,Avaliação!$C$2:$C$877,$B21,Avaliação!$E$2:$E$877,"Gerenciado",Avaliação!$M$2:$M$877,1)</f>
        <v/>
      </c>
      <c r="J21" s="5">
        <f>COUNTIFS(Avaliação!$A$2:$A$877,$A21,Avaliação!$C$2:$C$877,$B21,Avaliação!$E$2:$E$877,"Melhoria Contínua",Avaliação!$M$2:$M$877,1)</f>
        <v/>
      </c>
      <c r="K21" s="5">
        <f>COUNTIFS(Avaliação!$A$2:$A$877,$A21,Avaliação!$C$2:$C$877,$B21,Avaliação!$E$2:$E$877,"Inicial",Avaliação!$N$2:$N$877,1)</f>
        <v/>
      </c>
      <c r="L21" s="5">
        <f>COUNTIFS(Avaliação!$A$2:$A$877,$A21,Avaliação!$C$2:$C$877,$B21,Avaliação!$E$2:$E$877,"Gerenciado",Avaliação!$N$2:$N$877,1)</f>
        <v/>
      </c>
      <c r="M21" s="5">
        <f>COUNTIFS(Avaliação!$A$2:$A$877,$A21,Avaliação!$C$2:$C$877,$B21,Avaliação!$E$2:$E$877,"Melhoria Contínua",Avaliação!$N$2:$N$877,1)</f>
        <v/>
      </c>
      <c r="N21" s="10">
        <f>IF(H21&lt;E21,v_ini*H21/E21,IF(I21&lt;F21,v_ini+(v_ger-v_ini)*I21/F21,IF(J21&lt;G21,v_ger+(v_mc-v_ger)*J21/G21,v_mc)))</f>
        <v/>
      </c>
      <c r="O21" s="10">
        <f>IF(K21&lt;E21,v_ini*K21/E21,IF(L21&lt;F21,v_ini+(v_ger-v_ini)*L21/F21,IF(M21&lt;G21,v_ger+(v_mc-v_ger)*M21/G21,v_mc)))</f>
        <v/>
      </c>
    </row>
    <row r="22">
      <c r="A22" s="5" t="inlineStr">
        <is>
          <t>ANEEL</t>
        </is>
      </c>
      <c r="B22" s="5" t="inlineStr">
        <is>
          <t>AIR_CAP</t>
        </is>
      </c>
      <c r="C22" s="5" t="n">
        <v>1</v>
      </c>
      <c r="D22" s="5" t="n">
        <v>0.3</v>
      </c>
      <c r="E22" s="5">
        <f>COUNTIFS(Condições!$C$2:$C$74,$B22,Condições!$E$2:$E$74,"Inicial")</f>
        <v/>
      </c>
      <c r="F22" s="5">
        <f>COUNTIFS(Condições!$C$2:$C$74,$B22,Condições!$E$2:$E$74,"Gerenciado")</f>
        <v/>
      </c>
      <c r="G22" s="5">
        <f>COUNTIFS(Condições!$C$2:$C$74,$B22,Condições!$E$2:$E$74,"Melhoria Contínua")</f>
        <v/>
      </c>
      <c r="H22" s="5">
        <f>COUNTIFS(Avaliação!$A$2:$A$877,$A22,Avaliação!$C$2:$C$877,$B22,Avaliação!$E$2:$E$877,"Inicial",Avaliação!$M$2:$M$877,1)</f>
        <v/>
      </c>
      <c r="I22" s="5">
        <f>COUNTIFS(Avaliação!$A$2:$A$877,$A22,Avaliação!$C$2:$C$877,$B22,Avaliação!$E$2:$E$877,"Gerenciado",Avaliação!$M$2:$M$877,1)</f>
        <v/>
      </c>
      <c r="J22" s="5">
        <f>COUNTIFS(Avaliação!$A$2:$A$877,$A22,Avaliação!$C$2:$C$877,$B22,Avaliação!$E$2:$E$877,"Melhoria Contínua",Avaliação!$M$2:$M$877,1)</f>
        <v/>
      </c>
      <c r="K22" s="5">
        <f>COUNTIFS(Avaliação!$A$2:$A$877,$A22,Avaliação!$C$2:$C$877,$B22,Avaliação!$E$2:$E$877,"Inicial",Avaliação!$N$2:$N$877,1)</f>
        <v/>
      </c>
      <c r="L22" s="5">
        <f>COUNTIFS(Avaliação!$A$2:$A$877,$A22,Avaliação!$C$2:$C$877,$B22,Avaliação!$E$2:$E$877,"Gerenciado",Avaliação!$N$2:$N$877,1)</f>
        <v/>
      </c>
      <c r="M22" s="5">
        <f>COUNTIFS(Avaliação!$A$2:$A$877,$A22,Avaliação!$C$2:$C$877,$B22,Avaliação!$E$2:$E$877,"Melhoria Contínua",Avaliação!$N$2:$N$877,1)</f>
        <v/>
      </c>
      <c r="N22" s="10">
        <f>IF(H22&lt;E22,v_ini*H22/E22,IF(I22&lt;F22,v_ini+(v_ger-v_ini)*I22/F22,IF(J22&lt;G22,v_ger+(v_mc-v_ger)*J22/G22,v_mc)))</f>
        <v/>
      </c>
      <c r="O22" s="10">
        <f>IF(K22&lt;E22,v_ini*K22/E22,IF(L22&lt;F22,v_ini+(v_ger-v_ini)*L22/F22,IF(M22&lt;G22,v_ger+(v_mc-v_ger)*M22/G22,v_mc)))</f>
        <v/>
      </c>
    </row>
    <row r="23">
      <c r="A23" s="5" t="inlineStr">
        <is>
          <t>ANEEL</t>
        </is>
      </c>
      <c r="B23" s="5" t="inlineStr">
        <is>
          <t>AIR_MET</t>
        </is>
      </c>
      <c r="C23" s="5" t="n">
        <v>1</v>
      </c>
      <c r="D23" s="5" t="n">
        <v>0.35</v>
      </c>
      <c r="E23" s="5">
        <f>COUNTIFS(Condições!$C$2:$C$74,$B23,Condições!$E$2:$E$74,"Inicial")</f>
        <v/>
      </c>
      <c r="F23" s="5">
        <f>COUNTIFS(Condições!$C$2:$C$74,$B23,Condições!$E$2:$E$74,"Gerenciado")</f>
        <v/>
      </c>
      <c r="G23" s="5">
        <f>COUNTIFS(Condições!$C$2:$C$74,$B23,Condições!$E$2:$E$74,"Melhoria Contínua")</f>
        <v/>
      </c>
      <c r="H23" s="5">
        <f>COUNTIFS(Avaliação!$A$2:$A$877,$A23,Avaliação!$C$2:$C$877,$B23,Avaliação!$E$2:$E$877,"Inicial",Avaliação!$M$2:$M$877,1)</f>
        <v/>
      </c>
      <c r="I23" s="5">
        <f>COUNTIFS(Avaliação!$A$2:$A$877,$A23,Avaliação!$C$2:$C$877,$B23,Avaliação!$E$2:$E$877,"Gerenciado",Avaliação!$M$2:$M$877,1)</f>
        <v/>
      </c>
      <c r="J23" s="5">
        <f>COUNTIFS(Avaliação!$A$2:$A$877,$A23,Avaliação!$C$2:$C$877,$B23,Avaliação!$E$2:$E$877,"Melhoria Contínua",Avaliação!$M$2:$M$877,1)</f>
        <v/>
      </c>
      <c r="K23" s="5">
        <f>COUNTIFS(Avaliação!$A$2:$A$877,$A23,Avaliação!$C$2:$C$877,$B23,Avaliação!$E$2:$E$877,"Inicial",Avaliação!$N$2:$N$877,1)</f>
        <v/>
      </c>
      <c r="L23" s="5">
        <f>COUNTIFS(Avaliação!$A$2:$A$877,$A23,Avaliação!$C$2:$C$877,$B23,Avaliação!$E$2:$E$877,"Gerenciado",Avaliação!$N$2:$N$877,1)</f>
        <v/>
      </c>
      <c r="M23" s="5">
        <f>COUNTIFS(Avaliação!$A$2:$A$877,$A23,Avaliação!$C$2:$C$877,$B23,Avaliação!$E$2:$E$877,"Melhoria Contínua",Avaliação!$N$2:$N$877,1)</f>
        <v/>
      </c>
      <c r="N23" s="10">
        <f>IF(H23&lt;E23,v_ini*H23/E23,IF(I23&lt;F23,v_ini+(v_ger-v_ini)*I23/F23,IF(J23&lt;G23,v_ger+(v_mc-v_ger)*J23/G23,v_mc)))</f>
        <v/>
      </c>
      <c r="O23" s="10">
        <f>IF(K23&lt;E23,v_ini*K23/E23,IF(L23&lt;F23,v_ini+(v_ger-v_ini)*L23/F23,IF(M23&lt;G23,v_ger+(v_mc-v_ger)*M23/G23,v_mc)))</f>
        <v/>
      </c>
    </row>
    <row r="24">
      <c r="A24" s="5" t="inlineStr">
        <is>
          <t>ANEEL</t>
        </is>
      </c>
      <c r="B24" s="5" t="inlineStr">
        <is>
          <t>AIR_PRO</t>
        </is>
      </c>
      <c r="C24" s="5" t="n">
        <v>1</v>
      </c>
      <c r="D24" s="5" t="n">
        <v>0.35</v>
      </c>
      <c r="E24" s="5">
        <f>COUNTIFS(Condições!$C$2:$C$74,$B24,Condições!$E$2:$E$74,"Inicial")</f>
        <v/>
      </c>
      <c r="F24" s="5">
        <f>COUNTIFS(Condições!$C$2:$C$74,$B24,Condições!$E$2:$E$74,"Gerenciado")</f>
        <v/>
      </c>
      <c r="G24" s="5">
        <f>COUNTIFS(Condições!$C$2:$C$74,$B24,Condições!$E$2:$E$74,"Melhoria Contínua")</f>
        <v/>
      </c>
      <c r="H24" s="5">
        <f>COUNTIFS(Avaliação!$A$2:$A$877,$A24,Avaliação!$C$2:$C$877,$B24,Avaliação!$E$2:$E$877,"Inicial",Avaliação!$M$2:$M$877,1)</f>
        <v/>
      </c>
      <c r="I24" s="5">
        <f>COUNTIFS(Avaliação!$A$2:$A$877,$A24,Avaliação!$C$2:$C$877,$B24,Avaliação!$E$2:$E$877,"Gerenciado",Avaliação!$M$2:$M$877,1)</f>
        <v/>
      </c>
      <c r="J24" s="5">
        <f>COUNTIFS(Avaliação!$A$2:$A$877,$A24,Avaliação!$C$2:$C$877,$B24,Avaliação!$E$2:$E$877,"Melhoria Contínua",Avaliação!$M$2:$M$877,1)</f>
        <v/>
      </c>
      <c r="K24" s="5">
        <f>COUNTIFS(Avaliação!$A$2:$A$877,$A24,Avaliação!$C$2:$C$877,$B24,Avaliação!$E$2:$E$877,"Inicial",Avaliação!$N$2:$N$877,1)</f>
        <v/>
      </c>
      <c r="L24" s="5">
        <f>COUNTIFS(Avaliação!$A$2:$A$877,$A24,Avaliação!$C$2:$C$877,$B24,Avaliação!$E$2:$E$877,"Gerenciado",Avaliação!$N$2:$N$877,1)</f>
        <v/>
      </c>
      <c r="M24" s="5">
        <f>COUNTIFS(Avaliação!$A$2:$A$877,$A24,Avaliação!$C$2:$C$877,$B24,Avaliação!$E$2:$E$877,"Melhoria Contínua",Avaliação!$N$2:$N$877,1)</f>
        <v/>
      </c>
      <c r="N24" s="10">
        <f>IF(H24&lt;E24,v_ini*H24/E24,IF(I24&lt;F24,v_ini+(v_ger-v_ini)*I24/F24,IF(J24&lt;G24,v_ger+(v_mc-v_ger)*J24/G24,v_mc)))</f>
        <v/>
      </c>
      <c r="O24" s="10">
        <f>IF(K24&lt;E24,v_ini*K24/E24,IF(L24&lt;F24,v_ini+(v_ger-v_ini)*L24/F24,IF(M24&lt;G24,v_ger+(v_mc-v_ger)*M24/G24,v_mc)))</f>
        <v/>
      </c>
    </row>
    <row r="25">
      <c r="A25" s="5" t="inlineStr">
        <is>
          <t>ANEEL</t>
        </is>
      </c>
      <c r="B25" s="5" t="inlineStr">
        <is>
          <t>PS</t>
        </is>
      </c>
      <c r="C25" s="5" t="n">
        <v>2</v>
      </c>
      <c r="D25" s="5" t="n">
        <v>1</v>
      </c>
      <c r="E25" s="5">
        <f>COUNTIFS(Condições!$C$2:$C$74,$B25,Condições!$E$2:$E$74,"Inicial")</f>
        <v/>
      </c>
      <c r="F25" s="5">
        <f>COUNTIFS(Condições!$C$2:$C$74,$B25,Condições!$E$2:$E$74,"Gerenciado")</f>
        <v/>
      </c>
      <c r="G25" s="5">
        <f>COUNTIFS(Condições!$C$2:$C$74,$B25,Condições!$E$2:$E$74,"Melhoria Contínua")</f>
        <v/>
      </c>
      <c r="H25" s="5">
        <f>COUNTIFS(Avaliação!$A$2:$A$877,$A25,Avaliação!$C$2:$C$877,$B25,Avaliação!$E$2:$E$877,"Inicial",Avaliação!$M$2:$M$877,1)</f>
        <v/>
      </c>
      <c r="I25" s="5">
        <f>COUNTIFS(Avaliação!$A$2:$A$877,$A25,Avaliação!$C$2:$C$877,$B25,Avaliação!$E$2:$E$877,"Gerenciado",Avaliação!$M$2:$M$877,1)</f>
        <v/>
      </c>
      <c r="J25" s="5">
        <f>COUNTIFS(Avaliação!$A$2:$A$877,$A25,Avaliação!$C$2:$C$877,$B25,Avaliação!$E$2:$E$877,"Melhoria Contínua",Avaliação!$M$2:$M$877,1)</f>
        <v/>
      </c>
      <c r="K25" s="5">
        <f>COUNTIFS(Avaliação!$A$2:$A$877,$A25,Avaliação!$C$2:$C$877,$B25,Avaliação!$E$2:$E$877,"Inicial",Avaliação!$N$2:$N$877,1)</f>
        <v/>
      </c>
      <c r="L25" s="5">
        <f>COUNTIFS(Avaliação!$A$2:$A$877,$A25,Avaliação!$C$2:$C$877,$B25,Avaliação!$E$2:$E$877,"Gerenciado",Avaliação!$N$2:$N$877,1)</f>
        <v/>
      </c>
      <c r="M25" s="5">
        <f>COUNTIFS(Avaliação!$A$2:$A$877,$A25,Avaliação!$C$2:$C$877,$B25,Avaliação!$E$2:$E$877,"Melhoria Contínua",Avaliação!$N$2:$N$877,1)</f>
        <v/>
      </c>
      <c r="N25" s="10">
        <f>IF(H25&lt;E25,v_ini*H25/E25,IF(I25&lt;F25,v_ini+(v_ger-v_ini)*I25/F25,IF(J25&lt;G25,v_ger+(v_mc-v_ger)*J25/G25,v_mc)))</f>
        <v/>
      </c>
      <c r="O25" s="10">
        <f>IF(K25&lt;E25,v_ini*K25/E25,IF(L25&lt;F25,v_ini+(v_ger-v_ini)*L25/F25,IF(M25&lt;G25,v_ger+(v_mc-v_ger)*M25/G25,v_mc)))</f>
        <v/>
      </c>
    </row>
    <row r="26">
      <c r="A26" s="5" t="inlineStr">
        <is>
          <t>ANEEL</t>
        </is>
      </c>
      <c r="B26" s="5" t="inlineStr">
        <is>
          <t>EST</t>
        </is>
      </c>
      <c r="C26" s="5" t="n">
        <v>3</v>
      </c>
      <c r="D26" s="5" t="n">
        <v>1</v>
      </c>
      <c r="E26" s="5">
        <f>COUNTIFS(Condições!$C$2:$C$74,$B26,Condições!$E$2:$E$74,"Inicial")</f>
        <v/>
      </c>
      <c r="F26" s="5">
        <f>COUNTIFS(Condições!$C$2:$C$74,$B26,Condições!$E$2:$E$74,"Gerenciado")</f>
        <v/>
      </c>
      <c r="G26" s="5">
        <f>COUNTIFS(Condições!$C$2:$C$74,$B26,Condições!$E$2:$E$74,"Melhoria Contínua")</f>
        <v/>
      </c>
      <c r="H26" s="5">
        <f>COUNTIFS(Avaliação!$A$2:$A$877,$A26,Avaliação!$C$2:$C$877,$B26,Avaliação!$E$2:$E$877,"Inicial",Avaliação!$M$2:$M$877,1)</f>
        <v/>
      </c>
      <c r="I26" s="5">
        <f>COUNTIFS(Avaliação!$A$2:$A$877,$A26,Avaliação!$C$2:$C$877,$B26,Avaliação!$E$2:$E$877,"Gerenciado",Avaliação!$M$2:$M$877,1)</f>
        <v/>
      </c>
      <c r="J26" s="5">
        <f>COUNTIFS(Avaliação!$A$2:$A$877,$A26,Avaliação!$C$2:$C$877,$B26,Avaliação!$E$2:$E$877,"Melhoria Contínua",Avaliação!$M$2:$M$877,1)</f>
        <v/>
      </c>
      <c r="K26" s="5">
        <f>COUNTIFS(Avaliação!$A$2:$A$877,$A26,Avaliação!$C$2:$C$877,$B26,Avaliação!$E$2:$E$877,"Inicial",Avaliação!$N$2:$N$877,1)</f>
        <v/>
      </c>
      <c r="L26" s="5">
        <f>COUNTIFS(Avaliação!$A$2:$A$877,$A26,Avaliação!$C$2:$C$877,$B26,Avaliação!$E$2:$E$877,"Gerenciado",Avaliação!$N$2:$N$877,1)</f>
        <v/>
      </c>
      <c r="M26" s="5">
        <f>COUNTIFS(Avaliação!$A$2:$A$877,$A26,Avaliação!$C$2:$C$877,$B26,Avaliação!$E$2:$E$877,"Melhoria Contínua",Avaliação!$N$2:$N$877,1)</f>
        <v/>
      </c>
      <c r="N26" s="10">
        <f>IF(H26&lt;E26,v_ini*H26/E26,IF(I26&lt;F26,v_ini+(v_ger-v_ini)*I26/F26,IF(J26&lt;G26,v_ger+(v_mc-v_ger)*J26/G26,v_mc)))</f>
        <v/>
      </c>
      <c r="O26" s="10">
        <f>IF(K26&lt;E26,v_ini*K26/E26,IF(L26&lt;F26,v_ini+(v_ger-v_ini)*L26/F26,IF(M26&lt;G26,v_ger+(v_mc-v_ger)*M26/G26,v_mc)))</f>
        <v/>
      </c>
    </row>
    <row r="27">
      <c r="A27" s="5" t="inlineStr">
        <is>
          <t>ANEEL</t>
        </is>
      </c>
      <c r="B27" s="5" t="inlineStr">
        <is>
          <t>AGE</t>
        </is>
      </c>
      <c r="C27" s="5" t="n">
        <v>4</v>
      </c>
      <c r="D27" s="5" t="n">
        <v>1</v>
      </c>
      <c r="E27" s="5">
        <f>COUNTIFS(Condições!$C$2:$C$74,$B27,Condições!$E$2:$E$74,"Inicial")</f>
        <v/>
      </c>
      <c r="F27" s="5">
        <f>COUNTIFS(Condições!$C$2:$C$74,$B27,Condições!$E$2:$E$74,"Gerenciado")</f>
        <v/>
      </c>
      <c r="G27" s="5">
        <f>COUNTIFS(Condições!$C$2:$C$74,$B27,Condições!$E$2:$E$74,"Melhoria Contínua")</f>
        <v/>
      </c>
      <c r="H27" s="5">
        <f>COUNTIFS(Avaliação!$A$2:$A$877,$A27,Avaliação!$C$2:$C$877,$B27,Avaliação!$E$2:$E$877,"Inicial",Avaliação!$M$2:$M$877,1)</f>
        <v/>
      </c>
      <c r="I27" s="5">
        <f>COUNTIFS(Avaliação!$A$2:$A$877,$A27,Avaliação!$C$2:$C$877,$B27,Avaliação!$E$2:$E$877,"Gerenciado",Avaliação!$M$2:$M$877,1)</f>
        <v/>
      </c>
      <c r="J27" s="5">
        <f>COUNTIFS(Avaliação!$A$2:$A$877,$A27,Avaliação!$C$2:$C$877,$B27,Avaliação!$E$2:$E$877,"Melhoria Contínua",Avaliação!$M$2:$M$877,1)</f>
        <v/>
      </c>
      <c r="K27" s="5">
        <f>COUNTIFS(Avaliação!$A$2:$A$877,$A27,Avaliação!$C$2:$C$877,$B27,Avaliação!$E$2:$E$877,"Inicial",Avaliação!$N$2:$N$877,1)</f>
        <v/>
      </c>
      <c r="L27" s="5">
        <f>COUNTIFS(Avaliação!$A$2:$A$877,$A27,Avaliação!$C$2:$C$877,$B27,Avaliação!$E$2:$E$877,"Gerenciado",Avaliação!$N$2:$N$877,1)</f>
        <v/>
      </c>
      <c r="M27" s="5">
        <f>COUNTIFS(Avaliação!$A$2:$A$877,$A27,Avaliação!$C$2:$C$877,$B27,Avaliação!$E$2:$E$877,"Melhoria Contínua",Avaliação!$N$2:$N$877,1)</f>
        <v/>
      </c>
      <c r="N27" s="10">
        <f>IF(H27&lt;E27,v_ini*H27/E27,IF(I27&lt;F27,v_ini+(v_ger-v_ini)*I27/F27,IF(J27&lt;G27,v_ger+(v_mc-v_ger)*J27/G27,v_mc)))</f>
        <v/>
      </c>
      <c r="O27" s="10">
        <f>IF(K27&lt;E27,v_ini*K27/E27,IF(L27&lt;F27,v_ini+(v_ger-v_ini)*L27/F27,IF(M27&lt;G27,v_ger+(v_mc-v_ger)*M27/G27,v_mc)))</f>
        <v/>
      </c>
    </row>
    <row r="28">
      <c r="A28" s="5" t="inlineStr">
        <is>
          <t>ANEEL</t>
        </is>
      </c>
      <c r="B28" s="5" t="inlineStr">
        <is>
          <t>PRO</t>
        </is>
      </c>
      <c r="C28" s="5" t="n">
        <v>5</v>
      </c>
      <c r="D28" s="5" t="n">
        <v>1</v>
      </c>
      <c r="E28" s="5">
        <f>COUNTIFS(Condições!$C$2:$C$74,$B28,Condições!$E$2:$E$74,"Inicial")</f>
        <v/>
      </c>
      <c r="F28" s="5">
        <f>COUNTIFS(Condições!$C$2:$C$74,$B28,Condições!$E$2:$E$74,"Gerenciado")</f>
        <v/>
      </c>
      <c r="G28" s="5">
        <f>COUNTIFS(Condições!$C$2:$C$74,$B28,Condições!$E$2:$E$74,"Melhoria Contínua")</f>
        <v/>
      </c>
      <c r="H28" s="5">
        <f>COUNTIFS(Avaliação!$A$2:$A$877,$A28,Avaliação!$C$2:$C$877,$B28,Avaliação!$E$2:$E$877,"Inicial",Avaliação!$M$2:$M$877,1)</f>
        <v/>
      </c>
      <c r="I28" s="5">
        <f>COUNTIFS(Avaliação!$A$2:$A$877,$A28,Avaliação!$C$2:$C$877,$B28,Avaliação!$E$2:$E$877,"Gerenciado",Avaliação!$M$2:$M$877,1)</f>
        <v/>
      </c>
      <c r="J28" s="5">
        <f>COUNTIFS(Avaliação!$A$2:$A$877,$A28,Avaliação!$C$2:$C$877,$B28,Avaliação!$E$2:$E$877,"Melhoria Contínua",Avaliação!$M$2:$M$877,1)</f>
        <v/>
      </c>
      <c r="K28" s="5">
        <f>COUNTIFS(Avaliação!$A$2:$A$877,$A28,Avaliação!$C$2:$C$877,$B28,Avaliação!$E$2:$E$877,"Inicial",Avaliação!$N$2:$N$877,1)</f>
        <v/>
      </c>
      <c r="L28" s="5">
        <f>COUNTIFS(Avaliação!$A$2:$A$877,$A28,Avaliação!$C$2:$C$877,$B28,Avaliação!$E$2:$E$877,"Gerenciado",Avaliação!$N$2:$N$877,1)</f>
        <v/>
      </c>
      <c r="M28" s="5">
        <f>COUNTIFS(Avaliação!$A$2:$A$877,$A28,Avaliação!$C$2:$C$877,$B28,Avaliação!$E$2:$E$877,"Melhoria Contínua",Avaliação!$N$2:$N$877,1)</f>
        <v/>
      </c>
      <c r="N28" s="10">
        <f>IF(H28&lt;E28,v_ini*H28/E28,IF(I28&lt;F28,v_ini+(v_ger-v_ini)*I28/F28,IF(J28&lt;G28,v_ger+(v_mc-v_ger)*J28/G28,v_mc)))</f>
        <v/>
      </c>
      <c r="O28" s="10">
        <f>IF(K28&lt;E28,v_ini*K28/E28,IF(L28&lt;F28,v_ini+(v_ger-v_ini)*L28/F28,IF(M28&lt;G28,v_ger+(v_mc-v_ger)*M28/G28,v_mc)))</f>
        <v/>
      </c>
    </row>
    <row r="29">
      <c r="A29" s="5" t="inlineStr">
        <is>
          <t>ANEEL</t>
        </is>
      </c>
      <c r="B29" s="5" t="inlineStr">
        <is>
          <t>ARR_CAP</t>
        </is>
      </c>
      <c r="C29" s="5" t="n">
        <v>6</v>
      </c>
      <c r="D29" s="5" t="n">
        <v>0.3</v>
      </c>
      <c r="E29" s="5">
        <f>COUNTIFS(Condições!$C$2:$C$74,$B29,Condições!$E$2:$E$74,"Inicial")</f>
        <v/>
      </c>
      <c r="F29" s="5">
        <f>COUNTIFS(Condições!$C$2:$C$74,$B29,Condições!$E$2:$E$74,"Gerenciado")</f>
        <v/>
      </c>
      <c r="G29" s="5">
        <f>COUNTIFS(Condições!$C$2:$C$74,$B29,Condições!$E$2:$E$74,"Melhoria Contínua")</f>
        <v/>
      </c>
      <c r="H29" s="5">
        <f>COUNTIFS(Avaliação!$A$2:$A$877,$A29,Avaliação!$C$2:$C$877,$B29,Avaliação!$E$2:$E$877,"Inicial",Avaliação!$M$2:$M$877,1)</f>
        <v/>
      </c>
      <c r="I29" s="5">
        <f>COUNTIFS(Avaliação!$A$2:$A$877,$A29,Avaliação!$C$2:$C$877,$B29,Avaliação!$E$2:$E$877,"Gerenciado",Avaliação!$M$2:$M$877,1)</f>
        <v/>
      </c>
      <c r="J29" s="5">
        <f>COUNTIFS(Avaliação!$A$2:$A$877,$A29,Avaliação!$C$2:$C$877,$B29,Avaliação!$E$2:$E$877,"Melhoria Contínua",Avaliação!$M$2:$M$877,1)</f>
        <v/>
      </c>
      <c r="K29" s="5">
        <f>COUNTIFS(Avaliação!$A$2:$A$877,$A29,Avaliação!$C$2:$C$877,$B29,Avaliação!$E$2:$E$877,"Inicial",Avaliação!$N$2:$N$877,1)</f>
        <v/>
      </c>
      <c r="L29" s="5">
        <f>COUNTIFS(Avaliação!$A$2:$A$877,$A29,Avaliação!$C$2:$C$877,$B29,Avaliação!$E$2:$E$877,"Gerenciado",Avaliação!$N$2:$N$877,1)</f>
        <v/>
      </c>
      <c r="M29" s="5">
        <f>COUNTIFS(Avaliação!$A$2:$A$877,$A29,Avaliação!$C$2:$C$877,$B29,Avaliação!$E$2:$E$877,"Melhoria Contínua",Avaliação!$N$2:$N$877,1)</f>
        <v/>
      </c>
      <c r="N29" s="10">
        <f>IF(H29&lt;E29,v_ini*H29/E29,IF(I29&lt;F29,v_ini+(v_ger-v_ini)*I29/F29,IF(J29&lt;G29,v_ger+(v_mc-v_ger)*J29/G29,v_mc)))</f>
        <v/>
      </c>
      <c r="O29" s="10">
        <f>IF(K29&lt;E29,v_ini*K29/E29,IF(L29&lt;F29,v_ini+(v_ger-v_ini)*L29/F29,IF(M29&lt;G29,v_ger+(v_mc-v_ger)*M29/G29,v_mc)))</f>
        <v/>
      </c>
    </row>
    <row r="30">
      <c r="A30" s="5" t="inlineStr">
        <is>
          <t>ANEEL</t>
        </is>
      </c>
      <c r="B30" s="5" t="inlineStr">
        <is>
          <t>ARR_MET</t>
        </is>
      </c>
      <c r="C30" s="5" t="n">
        <v>6</v>
      </c>
      <c r="D30" s="5" t="n">
        <v>0.35</v>
      </c>
      <c r="E30" s="5">
        <f>COUNTIFS(Condições!$C$2:$C$74,$B30,Condições!$E$2:$E$74,"Inicial")</f>
        <v/>
      </c>
      <c r="F30" s="5">
        <f>COUNTIFS(Condições!$C$2:$C$74,$B30,Condições!$E$2:$E$74,"Gerenciado")</f>
        <v/>
      </c>
      <c r="G30" s="5">
        <f>COUNTIFS(Condições!$C$2:$C$74,$B30,Condições!$E$2:$E$74,"Melhoria Contínua")</f>
        <v/>
      </c>
      <c r="H30" s="5">
        <f>COUNTIFS(Avaliação!$A$2:$A$877,$A30,Avaliação!$C$2:$C$877,$B30,Avaliação!$E$2:$E$877,"Inicial",Avaliação!$M$2:$M$877,1)</f>
        <v/>
      </c>
      <c r="I30" s="5">
        <f>COUNTIFS(Avaliação!$A$2:$A$877,$A30,Avaliação!$C$2:$C$877,$B30,Avaliação!$E$2:$E$877,"Gerenciado",Avaliação!$M$2:$M$877,1)</f>
        <v/>
      </c>
      <c r="J30" s="5">
        <f>COUNTIFS(Avaliação!$A$2:$A$877,$A30,Avaliação!$C$2:$C$877,$B30,Avaliação!$E$2:$E$877,"Melhoria Contínua",Avaliação!$M$2:$M$877,1)</f>
        <v/>
      </c>
      <c r="K30" s="5">
        <f>COUNTIFS(Avaliação!$A$2:$A$877,$A30,Avaliação!$C$2:$C$877,$B30,Avaliação!$E$2:$E$877,"Inicial",Avaliação!$N$2:$N$877,1)</f>
        <v/>
      </c>
      <c r="L30" s="5">
        <f>COUNTIFS(Avaliação!$A$2:$A$877,$A30,Avaliação!$C$2:$C$877,$B30,Avaliação!$E$2:$E$877,"Gerenciado",Avaliação!$N$2:$N$877,1)</f>
        <v/>
      </c>
      <c r="M30" s="5">
        <f>COUNTIFS(Avaliação!$A$2:$A$877,$A30,Avaliação!$C$2:$C$877,$B30,Avaliação!$E$2:$E$877,"Melhoria Contínua",Avaliação!$N$2:$N$877,1)</f>
        <v/>
      </c>
      <c r="N30" s="10">
        <f>IF(H30&lt;E30,v_ini*H30/E30,IF(I30&lt;F30,v_ini+(v_ger-v_ini)*I30/F30,IF(J30&lt;G30,v_ger+(v_mc-v_ger)*J30/G30,v_mc)))</f>
        <v/>
      </c>
      <c r="O30" s="10">
        <f>IF(K30&lt;E30,v_ini*K30/E30,IF(L30&lt;F30,v_ini+(v_ger-v_ini)*L30/F30,IF(M30&lt;G30,v_ger+(v_mc-v_ger)*M30/G30,v_mc)))</f>
        <v/>
      </c>
    </row>
    <row r="31">
      <c r="A31" s="5" t="inlineStr">
        <is>
          <t>ANEEL</t>
        </is>
      </c>
      <c r="B31" s="5" t="inlineStr">
        <is>
          <t>ARR_PRO</t>
        </is>
      </c>
      <c r="C31" s="5" t="n">
        <v>6</v>
      </c>
      <c r="D31" s="5" t="n">
        <v>0.35</v>
      </c>
      <c r="E31" s="5">
        <f>COUNTIFS(Condições!$C$2:$C$74,$B31,Condições!$E$2:$E$74,"Inicial")</f>
        <v/>
      </c>
      <c r="F31" s="5">
        <f>COUNTIFS(Condições!$C$2:$C$74,$B31,Condições!$E$2:$E$74,"Gerenciado")</f>
        <v/>
      </c>
      <c r="G31" s="5">
        <f>COUNTIFS(Condições!$C$2:$C$74,$B31,Condições!$E$2:$E$74,"Melhoria Contínua")</f>
        <v/>
      </c>
      <c r="H31" s="5">
        <f>COUNTIFS(Avaliação!$A$2:$A$877,$A31,Avaliação!$C$2:$C$877,$B31,Avaliação!$E$2:$E$877,"Inicial",Avaliação!$M$2:$M$877,1)</f>
        <v/>
      </c>
      <c r="I31" s="5">
        <f>COUNTIFS(Avaliação!$A$2:$A$877,$A31,Avaliação!$C$2:$C$877,$B31,Avaliação!$E$2:$E$877,"Gerenciado",Avaliação!$M$2:$M$877,1)</f>
        <v/>
      </c>
      <c r="J31" s="5">
        <f>COUNTIFS(Avaliação!$A$2:$A$877,$A31,Avaliação!$C$2:$C$877,$B31,Avaliação!$E$2:$E$877,"Melhoria Contínua",Avaliação!$M$2:$M$877,1)</f>
        <v/>
      </c>
      <c r="K31" s="5">
        <f>COUNTIFS(Avaliação!$A$2:$A$877,$A31,Avaliação!$C$2:$C$877,$B31,Avaliação!$E$2:$E$877,"Inicial",Avaliação!$N$2:$N$877,1)</f>
        <v/>
      </c>
      <c r="L31" s="5">
        <f>COUNTIFS(Avaliação!$A$2:$A$877,$A31,Avaliação!$C$2:$C$877,$B31,Avaliação!$E$2:$E$877,"Gerenciado",Avaliação!$N$2:$N$877,1)</f>
        <v/>
      </c>
      <c r="M31" s="5">
        <f>COUNTIFS(Avaliação!$A$2:$A$877,$A31,Avaliação!$C$2:$C$877,$B31,Avaliação!$E$2:$E$877,"Melhoria Contínua",Avaliação!$N$2:$N$877,1)</f>
        <v/>
      </c>
      <c r="N31" s="10">
        <f>IF(H31&lt;E31,v_ini*H31/E31,IF(I31&lt;F31,v_ini+(v_ger-v_ini)*I31/F31,IF(J31&lt;G31,v_ger+(v_mc-v_ger)*J31/G31,v_mc)))</f>
        <v/>
      </c>
      <c r="O31" s="10">
        <f>IF(K31&lt;E31,v_ini*K31/E31,IF(L31&lt;F31,v_ini+(v_ger-v_ini)*L31/F31,IF(M31&lt;G31,v_ger+(v_mc-v_ger)*M31/G31,v_mc)))</f>
        <v/>
      </c>
    </row>
    <row r="32">
      <c r="A32" s="5" t="inlineStr">
        <is>
          <t>ANTT</t>
        </is>
      </c>
      <c r="B32" s="5" t="inlineStr">
        <is>
          <t>AIR_CAP</t>
        </is>
      </c>
      <c r="C32" s="5" t="n">
        <v>1</v>
      </c>
      <c r="D32" s="5" t="n">
        <v>0.3</v>
      </c>
      <c r="E32" s="5">
        <f>COUNTIFS(Condições!$C$2:$C$74,$B32,Condições!$E$2:$E$74,"Inicial")</f>
        <v/>
      </c>
      <c r="F32" s="5">
        <f>COUNTIFS(Condições!$C$2:$C$74,$B32,Condições!$E$2:$E$74,"Gerenciado")</f>
        <v/>
      </c>
      <c r="G32" s="5">
        <f>COUNTIFS(Condições!$C$2:$C$74,$B32,Condições!$E$2:$E$74,"Melhoria Contínua")</f>
        <v/>
      </c>
      <c r="H32" s="5">
        <f>COUNTIFS(Avaliação!$A$2:$A$877,$A32,Avaliação!$C$2:$C$877,$B32,Avaliação!$E$2:$E$877,"Inicial",Avaliação!$M$2:$M$877,1)</f>
        <v/>
      </c>
      <c r="I32" s="5">
        <f>COUNTIFS(Avaliação!$A$2:$A$877,$A32,Avaliação!$C$2:$C$877,$B32,Avaliação!$E$2:$E$877,"Gerenciado",Avaliação!$M$2:$M$877,1)</f>
        <v/>
      </c>
      <c r="J32" s="5">
        <f>COUNTIFS(Avaliação!$A$2:$A$877,$A32,Avaliação!$C$2:$C$877,$B32,Avaliação!$E$2:$E$877,"Melhoria Contínua",Avaliação!$M$2:$M$877,1)</f>
        <v/>
      </c>
      <c r="K32" s="5">
        <f>COUNTIFS(Avaliação!$A$2:$A$877,$A32,Avaliação!$C$2:$C$877,$B32,Avaliação!$E$2:$E$877,"Inicial",Avaliação!$N$2:$N$877,1)</f>
        <v/>
      </c>
      <c r="L32" s="5">
        <f>COUNTIFS(Avaliação!$A$2:$A$877,$A32,Avaliação!$C$2:$C$877,$B32,Avaliação!$E$2:$E$877,"Gerenciado",Avaliação!$N$2:$N$877,1)</f>
        <v/>
      </c>
      <c r="M32" s="5">
        <f>COUNTIFS(Avaliação!$A$2:$A$877,$A32,Avaliação!$C$2:$C$877,$B32,Avaliação!$E$2:$E$877,"Melhoria Contínua",Avaliação!$N$2:$N$877,1)</f>
        <v/>
      </c>
      <c r="N32" s="10">
        <f>IF(H32&lt;E32,v_ini*H32/E32,IF(I32&lt;F32,v_ini+(v_ger-v_ini)*I32/F32,IF(J32&lt;G32,v_ger+(v_mc-v_ger)*J32/G32,v_mc)))</f>
        <v/>
      </c>
      <c r="O32" s="10">
        <f>IF(K32&lt;E32,v_ini*K32/E32,IF(L32&lt;F32,v_ini+(v_ger-v_ini)*L32/F32,IF(M32&lt;G32,v_ger+(v_mc-v_ger)*M32/G32,v_mc)))</f>
        <v/>
      </c>
    </row>
    <row r="33">
      <c r="A33" s="5" t="inlineStr">
        <is>
          <t>ANTT</t>
        </is>
      </c>
      <c r="B33" s="5" t="inlineStr">
        <is>
          <t>AIR_MET</t>
        </is>
      </c>
      <c r="C33" s="5" t="n">
        <v>1</v>
      </c>
      <c r="D33" s="5" t="n">
        <v>0.35</v>
      </c>
      <c r="E33" s="5">
        <f>COUNTIFS(Condições!$C$2:$C$74,$B33,Condições!$E$2:$E$74,"Inicial")</f>
        <v/>
      </c>
      <c r="F33" s="5">
        <f>COUNTIFS(Condições!$C$2:$C$74,$B33,Condições!$E$2:$E$74,"Gerenciado")</f>
        <v/>
      </c>
      <c r="G33" s="5">
        <f>COUNTIFS(Condições!$C$2:$C$74,$B33,Condições!$E$2:$E$74,"Melhoria Contínua")</f>
        <v/>
      </c>
      <c r="H33" s="5">
        <f>COUNTIFS(Avaliação!$A$2:$A$877,$A33,Avaliação!$C$2:$C$877,$B33,Avaliação!$E$2:$E$877,"Inicial",Avaliação!$M$2:$M$877,1)</f>
        <v/>
      </c>
      <c r="I33" s="5">
        <f>COUNTIFS(Avaliação!$A$2:$A$877,$A33,Avaliação!$C$2:$C$877,$B33,Avaliação!$E$2:$E$877,"Gerenciado",Avaliação!$M$2:$M$877,1)</f>
        <v/>
      </c>
      <c r="J33" s="5">
        <f>COUNTIFS(Avaliação!$A$2:$A$877,$A33,Avaliação!$C$2:$C$877,$B33,Avaliação!$E$2:$E$877,"Melhoria Contínua",Avaliação!$M$2:$M$877,1)</f>
        <v/>
      </c>
      <c r="K33" s="5">
        <f>COUNTIFS(Avaliação!$A$2:$A$877,$A33,Avaliação!$C$2:$C$877,$B33,Avaliação!$E$2:$E$877,"Inicial",Avaliação!$N$2:$N$877,1)</f>
        <v/>
      </c>
      <c r="L33" s="5">
        <f>COUNTIFS(Avaliação!$A$2:$A$877,$A33,Avaliação!$C$2:$C$877,$B33,Avaliação!$E$2:$E$877,"Gerenciado",Avaliação!$N$2:$N$877,1)</f>
        <v/>
      </c>
      <c r="M33" s="5">
        <f>COUNTIFS(Avaliação!$A$2:$A$877,$A33,Avaliação!$C$2:$C$877,$B33,Avaliação!$E$2:$E$877,"Melhoria Contínua",Avaliação!$N$2:$N$877,1)</f>
        <v/>
      </c>
      <c r="N33" s="10">
        <f>IF(H33&lt;E33,v_ini*H33/E33,IF(I33&lt;F33,v_ini+(v_ger-v_ini)*I33/F33,IF(J33&lt;G33,v_ger+(v_mc-v_ger)*J33/G33,v_mc)))</f>
        <v/>
      </c>
      <c r="O33" s="10">
        <f>IF(K33&lt;E33,v_ini*K33/E33,IF(L33&lt;F33,v_ini+(v_ger-v_ini)*L33/F33,IF(M33&lt;G33,v_ger+(v_mc-v_ger)*M33/G33,v_mc)))</f>
        <v/>
      </c>
    </row>
    <row r="34">
      <c r="A34" s="5" t="inlineStr">
        <is>
          <t>ANTT</t>
        </is>
      </c>
      <c r="B34" s="5" t="inlineStr">
        <is>
          <t>AIR_PRO</t>
        </is>
      </c>
      <c r="C34" s="5" t="n">
        <v>1</v>
      </c>
      <c r="D34" s="5" t="n">
        <v>0.35</v>
      </c>
      <c r="E34" s="5">
        <f>COUNTIFS(Condições!$C$2:$C$74,$B34,Condições!$E$2:$E$74,"Inicial")</f>
        <v/>
      </c>
      <c r="F34" s="5">
        <f>COUNTIFS(Condições!$C$2:$C$74,$B34,Condições!$E$2:$E$74,"Gerenciado")</f>
        <v/>
      </c>
      <c r="G34" s="5">
        <f>COUNTIFS(Condições!$C$2:$C$74,$B34,Condições!$E$2:$E$74,"Melhoria Contínua")</f>
        <v/>
      </c>
      <c r="H34" s="5">
        <f>COUNTIFS(Avaliação!$A$2:$A$877,$A34,Avaliação!$C$2:$C$877,$B34,Avaliação!$E$2:$E$877,"Inicial",Avaliação!$M$2:$M$877,1)</f>
        <v/>
      </c>
      <c r="I34" s="5">
        <f>COUNTIFS(Avaliação!$A$2:$A$877,$A34,Avaliação!$C$2:$C$877,$B34,Avaliação!$E$2:$E$877,"Gerenciado",Avaliação!$M$2:$M$877,1)</f>
        <v/>
      </c>
      <c r="J34" s="5">
        <f>COUNTIFS(Avaliação!$A$2:$A$877,$A34,Avaliação!$C$2:$C$877,$B34,Avaliação!$E$2:$E$877,"Melhoria Contínua",Avaliação!$M$2:$M$877,1)</f>
        <v/>
      </c>
      <c r="K34" s="5">
        <f>COUNTIFS(Avaliação!$A$2:$A$877,$A34,Avaliação!$C$2:$C$877,$B34,Avaliação!$E$2:$E$877,"Inicial",Avaliação!$N$2:$N$877,1)</f>
        <v/>
      </c>
      <c r="L34" s="5">
        <f>COUNTIFS(Avaliação!$A$2:$A$877,$A34,Avaliação!$C$2:$C$877,$B34,Avaliação!$E$2:$E$877,"Gerenciado",Avaliação!$N$2:$N$877,1)</f>
        <v/>
      </c>
      <c r="M34" s="5">
        <f>COUNTIFS(Avaliação!$A$2:$A$877,$A34,Avaliação!$C$2:$C$877,$B34,Avaliação!$E$2:$E$877,"Melhoria Contínua",Avaliação!$N$2:$N$877,1)</f>
        <v/>
      </c>
      <c r="N34" s="10">
        <f>IF(H34&lt;E34,v_ini*H34/E34,IF(I34&lt;F34,v_ini+(v_ger-v_ini)*I34/F34,IF(J34&lt;G34,v_ger+(v_mc-v_ger)*J34/G34,v_mc)))</f>
        <v/>
      </c>
      <c r="O34" s="10">
        <f>IF(K34&lt;E34,v_ini*K34/E34,IF(L34&lt;F34,v_ini+(v_ger-v_ini)*L34/F34,IF(M34&lt;G34,v_ger+(v_mc-v_ger)*M34/G34,v_mc)))</f>
        <v/>
      </c>
    </row>
    <row r="35">
      <c r="A35" s="5" t="inlineStr">
        <is>
          <t>ANTT</t>
        </is>
      </c>
      <c r="B35" s="5" t="inlineStr">
        <is>
          <t>PS</t>
        </is>
      </c>
      <c r="C35" s="5" t="n">
        <v>2</v>
      </c>
      <c r="D35" s="5" t="n">
        <v>1</v>
      </c>
      <c r="E35" s="5">
        <f>COUNTIFS(Condições!$C$2:$C$74,$B35,Condições!$E$2:$E$74,"Inicial")</f>
        <v/>
      </c>
      <c r="F35" s="5">
        <f>COUNTIFS(Condições!$C$2:$C$74,$B35,Condições!$E$2:$E$74,"Gerenciado")</f>
        <v/>
      </c>
      <c r="G35" s="5">
        <f>COUNTIFS(Condições!$C$2:$C$74,$B35,Condições!$E$2:$E$74,"Melhoria Contínua")</f>
        <v/>
      </c>
      <c r="H35" s="5">
        <f>COUNTIFS(Avaliação!$A$2:$A$877,$A35,Avaliação!$C$2:$C$877,$B35,Avaliação!$E$2:$E$877,"Inicial",Avaliação!$M$2:$M$877,1)</f>
        <v/>
      </c>
      <c r="I35" s="5">
        <f>COUNTIFS(Avaliação!$A$2:$A$877,$A35,Avaliação!$C$2:$C$877,$B35,Avaliação!$E$2:$E$877,"Gerenciado",Avaliação!$M$2:$M$877,1)</f>
        <v/>
      </c>
      <c r="J35" s="5">
        <f>COUNTIFS(Avaliação!$A$2:$A$877,$A35,Avaliação!$C$2:$C$877,$B35,Avaliação!$E$2:$E$877,"Melhoria Contínua",Avaliação!$M$2:$M$877,1)</f>
        <v/>
      </c>
      <c r="K35" s="5">
        <f>COUNTIFS(Avaliação!$A$2:$A$877,$A35,Avaliação!$C$2:$C$877,$B35,Avaliação!$E$2:$E$877,"Inicial",Avaliação!$N$2:$N$877,1)</f>
        <v/>
      </c>
      <c r="L35" s="5">
        <f>COUNTIFS(Avaliação!$A$2:$A$877,$A35,Avaliação!$C$2:$C$877,$B35,Avaliação!$E$2:$E$877,"Gerenciado",Avaliação!$N$2:$N$877,1)</f>
        <v/>
      </c>
      <c r="M35" s="5">
        <f>COUNTIFS(Avaliação!$A$2:$A$877,$A35,Avaliação!$C$2:$C$877,$B35,Avaliação!$E$2:$E$877,"Melhoria Contínua",Avaliação!$N$2:$N$877,1)</f>
        <v/>
      </c>
      <c r="N35" s="10">
        <f>IF(H35&lt;E35,v_ini*H35/E35,IF(I35&lt;F35,v_ini+(v_ger-v_ini)*I35/F35,IF(J35&lt;G35,v_ger+(v_mc-v_ger)*J35/G35,v_mc)))</f>
        <v/>
      </c>
      <c r="O35" s="10">
        <f>IF(K35&lt;E35,v_ini*K35/E35,IF(L35&lt;F35,v_ini+(v_ger-v_ini)*L35/F35,IF(M35&lt;G35,v_ger+(v_mc-v_ger)*M35/G35,v_mc)))</f>
        <v/>
      </c>
    </row>
    <row r="36">
      <c r="A36" s="5" t="inlineStr">
        <is>
          <t>ANTT</t>
        </is>
      </c>
      <c r="B36" s="5" t="inlineStr">
        <is>
          <t>EST</t>
        </is>
      </c>
      <c r="C36" s="5" t="n">
        <v>3</v>
      </c>
      <c r="D36" s="5" t="n">
        <v>1</v>
      </c>
      <c r="E36" s="5">
        <f>COUNTIFS(Condições!$C$2:$C$74,$B36,Condições!$E$2:$E$74,"Inicial")</f>
        <v/>
      </c>
      <c r="F36" s="5">
        <f>COUNTIFS(Condições!$C$2:$C$74,$B36,Condições!$E$2:$E$74,"Gerenciado")</f>
        <v/>
      </c>
      <c r="G36" s="5">
        <f>COUNTIFS(Condições!$C$2:$C$74,$B36,Condições!$E$2:$E$74,"Melhoria Contínua")</f>
        <v/>
      </c>
      <c r="H36" s="5">
        <f>COUNTIFS(Avaliação!$A$2:$A$877,$A36,Avaliação!$C$2:$C$877,$B36,Avaliação!$E$2:$E$877,"Inicial",Avaliação!$M$2:$M$877,1)</f>
        <v/>
      </c>
      <c r="I36" s="5">
        <f>COUNTIFS(Avaliação!$A$2:$A$877,$A36,Avaliação!$C$2:$C$877,$B36,Avaliação!$E$2:$E$877,"Gerenciado",Avaliação!$M$2:$M$877,1)</f>
        <v/>
      </c>
      <c r="J36" s="5">
        <f>COUNTIFS(Avaliação!$A$2:$A$877,$A36,Avaliação!$C$2:$C$877,$B36,Avaliação!$E$2:$E$877,"Melhoria Contínua",Avaliação!$M$2:$M$877,1)</f>
        <v/>
      </c>
      <c r="K36" s="5">
        <f>COUNTIFS(Avaliação!$A$2:$A$877,$A36,Avaliação!$C$2:$C$877,$B36,Avaliação!$E$2:$E$877,"Inicial",Avaliação!$N$2:$N$877,1)</f>
        <v/>
      </c>
      <c r="L36" s="5">
        <f>COUNTIFS(Avaliação!$A$2:$A$877,$A36,Avaliação!$C$2:$C$877,$B36,Avaliação!$E$2:$E$877,"Gerenciado",Avaliação!$N$2:$N$877,1)</f>
        <v/>
      </c>
      <c r="M36" s="5">
        <f>COUNTIFS(Avaliação!$A$2:$A$877,$A36,Avaliação!$C$2:$C$877,$B36,Avaliação!$E$2:$E$877,"Melhoria Contínua",Avaliação!$N$2:$N$877,1)</f>
        <v/>
      </c>
      <c r="N36" s="10">
        <f>IF(H36&lt;E36,v_ini*H36/E36,IF(I36&lt;F36,v_ini+(v_ger-v_ini)*I36/F36,IF(J36&lt;G36,v_ger+(v_mc-v_ger)*J36/G36,v_mc)))</f>
        <v/>
      </c>
      <c r="O36" s="10">
        <f>IF(K36&lt;E36,v_ini*K36/E36,IF(L36&lt;F36,v_ini+(v_ger-v_ini)*L36/F36,IF(M36&lt;G36,v_ger+(v_mc-v_ger)*M36/G36,v_mc)))</f>
        <v/>
      </c>
    </row>
    <row r="37">
      <c r="A37" s="5" t="inlineStr">
        <is>
          <t>ANTT</t>
        </is>
      </c>
      <c r="B37" s="5" t="inlineStr">
        <is>
          <t>AGE</t>
        </is>
      </c>
      <c r="C37" s="5" t="n">
        <v>4</v>
      </c>
      <c r="D37" s="5" t="n">
        <v>1</v>
      </c>
      <c r="E37" s="5">
        <f>COUNTIFS(Condições!$C$2:$C$74,$B37,Condições!$E$2:$E$74,"Inicial")</f>
        <v/>
      </c>
      <c r="F37" s="5">
        <f>COUNTIFS(Condições!$C$2:$C$74,$B37,Condições!$E$2:$E$74,"Gerenciado")</f>
        <v/>
      </c>
      <c r="G37" s="5">
        <f>COUNTIFS(Condições!$C$2:$C$74,$B37,Condições!$E$2:$E$74,"Melhoria Contínua")</f>
        <v/>
      </c>
      <c r="H37" s="5">
        <f>COUNTIFS(Avaliação!$A$2:$A$877,$A37,Avaliação!$C$2:$C$877,$B37,Avaliação!$E$2:$E$877,"Inicial",Avaliação!$M$2:$M$877,1)</f>
        <v/>
      </c>
      <c r="I37" s="5">
        <f>COUNTIFS(Avaliação!$A$2:$A$877,$A37,Avaliação!$C$2:$C$877,$B37,Avaliação!$E$2:$E$877,"Gerenciado",Avaliação!$M$2:$M$877,1)</f>
        <v/>
      </c>
      <c r="J37" s="5">
        <f>COUNTIFS(Avaliação!$A$2:$A$877,$A37,Avaliação!$C$2:$C$877,$B37,Avaliação!$E$2:$E$877,"Melhoria Contínua",Avaliação!$M$2:$M$877,1)</f>
        <v/>
      </c>
      <c r="K37" s="5">
        <f>COUNTIFS(Avaliação!$A$2:$A$877,$A37,Avaliação!$C$2:$C$877,$B37,Avaliação!$E$2:$E$877,"Inicial",Avaliação!$N$2:$N$877,1)</f>
        <v/>
      </c>
      <c r="L37" s="5">
        <f>COUNTIFS(Avaliação!$A$2:$A$877,$A37,Avaliação!$C$2:$C$877,$B37,Avaliação!$E$2:$E$877,"Gerenciado",Avaliação!$N$2:$N$877,1)</f>
        <v/>
      </c>
      <c r="M37" s="5">
        <f>COUNTIFS(Avaliação!$A$2:$A$877,$A37,Avaliação!$C$2:$C$877,$B37,Avaliação!$E$2:$E$877,"Melhoria Contínua",Avaliação!$N$2:$N$877,1)</f>
        <v/>
      </c>
      <c r="N37" s="10">
        <f>IF(H37&lt;E37,v_ini*H37/E37,IF(I37&lt;F37,v_ini+(v_ger-v_ini)*I37/F37,IF(J37&lt;G37,v_ger+(v_mc-v_ger)*J37/G37,v_mc)))</f>
        <v/>
      </c>
      <c r="O37" s="10">
        <f>IF(K37&lt;E37,v_ini*K37/E37,IF(L37&lt;F37,v_ini+(v_ger-v_ini)*L37/F37,IF(M37&lt;G37,v_ger+(v_mc-v_ger)*M37/G37,v_mc)))</f>
        <v/>
      </c>
    </row>
    <row r="38">
      <c r="A38" s="5" t="inlineStr">
        <is>
          <t>ANTT</t>
        </is>
      </c>
      <c r="B38" s="5" t="inlineStr">
        <is>
          <t>PRO</t>
        </is>
      </c>
      <c r="C38" s="5" t="n">
        <v>5</v>
      </c>
      <c r="D38" s="5" t="n">
        <v>1</v>
      </c>
      <c r="E38" s="5">
        <f>COUNTIFS(Condições!$C$2:$C$74,$B38,Condições!$E$2:$E$74,"Inicial")</f>
        <v/>
      </c>
      <c r="F38" s="5">
        <f>COUNTIFS(Condições!$C$2:$C$74,$B38,Condições!$E$2:$E$74,"Gerenciado")</f>
        <v/>
      </c>
      <c r="G38" s="5">
        <f>COUNTIFS(Condições!$C$2:$C$74,$B38,Condições!$E$2:$E$74,"Melhoria Contínua")</f>
        <v/>
      </c>
      <c r="H38" s="5">
        <f>COUNTIFS(Avaliação!$A$2:$A$877,$A38,Avaliação!$C$2:$C$877,$B38,Avaliação!$E$2:$E$877,"Inicial",Avaliação!$M$2:$M$877,1)</f>
        <v/>
      </c>
      <c r="I38" s="5">
        <f>COUNTIFS(Avaliação!$A$2:$A$877,$A38,Avaliação!$C$2:$C$877,$B38,Avaliação!$E$2:$E$877,"Gerenciado",Avaliação!$M$2:$M$877,1)</f>
        <v/>
      </c>
      <c r="J38" s="5">
        <f>COUNTIFS(Avaliação!$A$2:$A$877,$A38,Avaliação!$C$2:$C$877,$B38,Avaliação!$E$2:$E$877,"Melhoria Contínua",Avaliação!$M$2:$M$877,1)</f>
        <v/>
      </c>
      <c r="K38" s="5">
        <f>COUNTIFS(Avaliação!$A$2:$A$877,$A38,Avaliação!$C$2:$C$877,$B38,Avaliação!$E$2:$E$877,"Inicial",Avaliação!$N$2:$N$877,1)</f>
        <v/>
      </c>
      <c r="L38" s="5">
        <f>COUNTIFS(Avaliação!$A$2:$A$877,$A38,Avaliação!$C$2:$C$877,$B38,Avaliação!$E$2:$E$877,"Gerenciado",Avaliação!$N$2:$N$877,1)</f>
        <v/>
      </c>
      <c r="M38" s="5">
        <f>COUNTIFS(Avaliação!$A$2:$A$877,$A38,Avaliação!$C$2:$C$877,$B38,Avaliação!$E$2:$E$877,"Melhoria Contínua",Avaliação!$N$2:$N$877,1)</f>
        <v/>
      </c>
      <c r="N38" s="10">
        <f>IF(H38&lt;E38,v_ini*H38/E38,IF(I38&lt;F38,v_ini+(v_ger-v_ini)*I38/F38,IF(J38&lt;G38,v_ger+(v_mc-v_ger)*J38/G38,v_mc)))</f>
        <v/>
      </c>
      <c r="O38" s="10">
        <f>IF(K38&lt;E38,v_ini*K38/E38,IF(L38&lt;F38,v_ini+(v_ger-v_ini)*L38/F38,IF(M38&lt;G38,v_ger+(v_mc-v_ger)*M38/G38,v_mc)))</f>
        <v/>
      </c>
    </row>
    <row r="39">
      <c r="A39" s="5" t="inlineStr">
        <is>
          <t>ANTT</t>
        </is>
      </c>
      <c r="B39" s="5" t="inlineStr">
        <is>
          <t>ARR_CAP</t>
        </is>
      </c>
      <c r="C39" s="5" t="n">
        <v>6</v>
      </c>
      <c r="D39" s="5" t="n">
        <v>0.3</v>
      </c>
      <c r="E39" s="5">
        <f>COUNTIFS(Condições!$C$2:$C$74,$B39,Condições!$E$2:$E$74,"Inicial")</f>
        <v/>
      </c>
      <c r="F39" s="5">
        <f>COUNTIFS(Condições!$C$2:$C$74,$B39,Condições!$E$2:$E$74,"Gerenciado")</f>
        <v/>
      </c>
      <c r="G39" s="5">
        <f>COUNTIFS(Condições!$C$2:$C$74,$B39,Condições!$E$2:$E$74,"Melhoria Contínua")</f>
        <v/>
      </c>
      <c r="H39" s="5">
        <f>COUNTIFS(Avaliação!$A$2:$A$877,$A39,Avaliação!$C$2:$C$877,$B39,Avaliação!$E$2:$E$877,"Inicial",Avaliação!$M$2:$M$877,1)</f>
        <v/>
      </c>
      <c r="I39" s="5">
        <f>COUNTIFS(Avaliação!$A$2:$A$877,$A39,Avaliação!$C$2:$C$877,$B39,Avaliação!$E$2:$E$877,"Gerenciado",Avaliação!$M$2:$M$877,1)</f>
        <v/>
      </c>
      <c r="J39" s="5">
        <f>COUNTIFS(Avaliação!$A$2:$A$877,$A39,Avaliação!$C$2:$C$877,$B39,Avaliação!$E$2:$E$877,"Melhoria Contínua",Avaliação!$M$2:$M$877,1)</f>
        <v/>
      </c>
      <c r="K39" s="5">
        <f>COUNTIFS(Avaliação!$A$2:$A$877,$A39,Avaliação!$C$2:$C$877,$B39,Avaliação!$E$2:$E$877,"Inicial",Avaliação!$N$2:$N$877,1)</f>
        <v/>
      </c>
      <c r="L39" s="5">
        <f>COUNTIFS(Avaliação!$A$2:$A$877,$A39,Avaliação!$C$2:$C$877,$B39,Avaliação!$E$2:$E$877,"Gerenciado",Avaliação!$N$2:$N$877,1)</f>
        <v/>
      </c>
      <c r="M39" s="5">
        <f>COUNTIFS(Avaliação!$A$2:$A$877,$A39,Avaliação!$C$2:$C$877,$B39,Avaliação!$E$2:$E$877,"Melhoria Contínua",Avaliação!$N$2:$N$877,1)</f>
        <v/>
      </c>
      <c r="N39" s="10">
        <f>IF(H39&lt;E39,v_ini*H39/E39,IF(I39&lt;F39,v_ini+(v_ger-v_ini)*I39/F39,IF(J39&lt;G39,v_ger+(v_mc-v_ger)*J39/G39,v_mc)))</f>
        <v/>
      </c>
      <c r="O39" s="10">
        <f>IF(K39&lt;E39,v_ini*K39/E39,IF(L39&lt;F39,v_ini+(v_ger-v_ini)*L39/F39,IF(M39&lt;G39,v_ger+(v_mc-v_ger)*M39/G39,v_mc)))</f>
        <v/>
      </c>
    </row>
    <row r="40">
      <c r="A40" s="5" t="inlineStr">
        <is>
          <t>ANTT</t>
        </is>
      </c>
      <c r="B40" s="5" t="inlineStr">
        <is>
          <t>ARR_MET</t>
        </is>
      </c>
      <c r="C40" s="5" t="n">
        <v>6</v>
      </c>
      <c r="D40" s="5" t="n">
        <v>0.35</v>
      </c>
      <c r="E40" s="5">
        <f>COUNTIFS(Condições!$C$2:$C$74,$B40,Condições!$E$2:$E$74,"Inicial")</f>
        <v/>
      </c>
      <c r="F40" s="5">
        <f>COUNTIFS(Condições!$C$2:$C$74,$B40,Condições!$E$2:$E$74,"Gerenciado")</f>
        <v/>
      </c>
      <c r="G40" s="5">
        <f>COUNTIFS(Condições!$C$2:$C$74,$B40,Condições!$E$2:$E$74,"Melhoria Contínua")</f>
        <v/>
      </c>
      <c r="H40" s="5">
        <f>COUNTIFS(Avaliação!$A$2:$A$877,$A40,Avaliação!$C$2:$C$877,$B40,Avaliação!$E$2:$E$877,"Inicial",Avaliação!$M$2:$M$877,1)</f>
        <v/>
      </c>
      <c r="I40" s="5">
        <f>COUNTIFS(Avaliação!$A$2:$A$877,$A40,Avaliação!$C$2:$C$877,$B40,Avaliação!$E$2:$E$877,"Gerenciado",Avaliação!$M$2:$M$877,1)</f>
        <v/>
      </c>
      <c r="J40" s="5">
        <f>COUNTIFS(Avaliação!$A$2:$A$877,$A40,Avaliação!$C$2:$C$877,$B40,Avaliação!$E$2:$E$877,"Melhoria Contínua",Avaliação!$M$2:$M$877,1)</f>
        <v/>
      </c>
      <c r="K40" s="5">
        <f>COUNTIFS(Avaliação!$A$2:$A$877,$A40,Avaliação!$C$2:$C$877,$B40,Avaliação!$E$2:$E$877,"Inicial",Avaliação!$N$2:$N$877,1)</f>
        <v/>
      </c>
      <c r="L40" s="5">
        <f>COUNTIFS(Avaliação!$A$2:$A$877,$A40,Avaliação!$C$2:$C$877,$B40,Avaliação!$E$2:$E$877,"Gerenciado",Avaliação!$N$2:$N$877,1)</f>
        <v/>
      </c>
      <c r="M40" s="5">
        <f>COUNTIFS(Avaliação!$A$2:$A$877,$A40,Avaliação!$C$2:$C$877,$B40,Avaliação!$E$2:$E$877,"Melhoria Contínua",Avaliação!$N$2:$N$877,1)</f>
        <v/>
      </c>
      <c r="N40" s="10">
        <f>IF(H40&lt;E40,v_ini*H40/E40,IF(I40&lt;F40,v_ini+(v_ger-v_ini)*I40/F40,IF(J40&lt;G40,v_ger+(v_mc-v_ger)*J40/G40,v_mc)))</f>
        <v/>
      </c>
      <c r="O40" s="10">
        <f>IF(K40&lt;E40,v_ini*K40/E40,IF(L40&lt;F40,v_ini+(v_ger-v_ini)*L40/F40,IF(M40&lt;G40,v_ger+(v_mc-v_ger)*M40/G40,v_mc)))</f>
        <v/>
      </c>
    </row>
    <row r="41">
      <c r="A41" s="5" t="inlineStr">
        <is>
          <t>ANTT</t>
        </is>
      </c>
      <c r="B41" s="5" t="inlineStr">
        <is>
          <t>ARR_PRO</t>
        </is>
      </c>
      <c r="C41" s="5" t="n">
        <v>6</v>
      </c>
      <c r="D41" s="5" t="n">
        <v>0.35</v>
      </c>
      <c r="E41" s="5">
        <f>COUNTIFS(Condições!$C$2:$C$74,$B41,Condições!$E$2:$E$74,"Inicial")</f>
        <v/>
      </c>
      <c r="F41" s="5">
        <f>COUNTIFS(Condições!$C$2:$C$74,$B41,Condições!$E$2:$E$74,"Gerenciado")</f>
        <v/>
      </c>
      <c r="G41" s="5">
        <f>COUNTIFS(Condições!$C$2:$C$74,$B41,Condições!$E$2:$E$74,"Melhoria Contínua")</f>
        <v/>
      </c>
      <c r="H41" s="5">
        <f>COUNTIFS(Avaliação!$A$2:$A$877,$A41,Avaliação!$C$2:$C$877,$B41,Avaliação!$E$2:$E$877,"Inicial",Avaliação!$M$2:$M$877,1)</f>
        <v/>
      </c>
      <c r="I41" s="5">
        <f>COUNTIFS(Avaliação!$A$2:$A$877,$A41,Avaliação!$C$2:$C$877,$B41,Avaliação!$E$2:$E$877,"Gerenciado",Avaliação!$M$2:$M$877,1)</f>
        <v/>
      </c>
      <c r="J41" s="5">
        <f>COUNTIFS(Avaliação!$A$2:$A$877,$A41,Avaliação!$C$2:$C$877,$B41,Avaliação!$E$2:$E$877,"Melhoria Contínua",Avaliação!$M$2:$M$877,1)</f>
        <v/>
      </c>
      <c r="K41" s="5">
        <f>COUNTIFS(Avaliação!$A$2:$A$877,$A41,Avaliação!$C$2:$C$877,$B41,Avaliação!$E$2:$E$877,"Inicial",Avaliação!$N$2:$N$877,1)</f>
        <v/>
      </c>
      <c r="L41" s="5">
        <f>COUNTIFS(Avaliação!$A$2:$A$877,$A41,Avaliação!$C$2:$C$877,$B41,Avaliação!$E$2:$E$877,"Gerenciado",Avaliação!$N$2:$N$877,1)</f>
        <v/>
      </c>
      <c r="M41" s="5">
        <f>COUNTIFS(Avaliação!$A$2:$A$877,$A41,Avaliação!$C$2:$C$877,$B41,Avaliação!$E$2:$E$877,"Melhoria Contínua",Avaliação!$N$2:$N$877,1)</f>
        <v/>
      </c>
      <c r="N41" s="10">
        <f>IF(H41&lt;E41,v_ini*H41/E41,IF(I41&lt;F41,v_ini+(v_ger-v_ini)*I41/F41,IF(J41&lt;G41,v_ger+(v_mc-v_ger)*J41/G41,v_mc)))</f>
        <v/>
      </c>
      <c r="O41" s="10">
        <f>IF(K41&lt;E41,v_ini*K41/E41,IF(L41&lt;F41,v_ini+(v_ger-v_ini)*L41/F41,IF(M41&lt;G41,v_ger+(v_mc-v_ger)*M41/G41,v_mc)))</f>
        <v/>
      </c>
    </row>
    <row r="42">
      <c r="A42" s="5" t="inlineStr">
        <is>
          <t>ANAC</t>
        </is>
      </c>
      <c r="B42" s="5" t="inlineStr">
        <is>
          <t>AIR_CAP</t>
        </is>
      </c>
      <c r="C42" s="5" t="n">
        <v>1</v>
      </c>
      <c r="D42" s="5" t="n">
        <v>0.3</v>
      </c>
      <c r="E42" s="5">
        <f>COUNTIFS(Condições!$C$2:$C$74,$B42,Condições!$E$2:$E$74,"Inicial")</f>
        <v/>
      </c>
      <c r="F42" s="5">
        <f>COUNTIFS(Condições!$C$2:$C$74,$B42,Condições!$E$2:$E$74,"Gerenciado")</f>
        <v/>
      </c>
      <c r="G42" s="5">
        <f>COUNTIFS(Condições!$C$2:$C$74,$B42,Condições!$E$2:$E$74,"Melhoria Contínua")</f>
        <v/>
      </c>
      <c r="H42" s="5">
        <f>COUNTIFS(Avaliação!$A$2:$A$877,$A42,Avaliação!$C$2:$C$877,$B42,Avaliação!$E$2:$E$877,"Inicial",Avaliação!$M$2:$M$877,1)</f>
        <v/>
      </c>
      <c r="I42" s="5">
        <f>COUNTIFS(Avaliação!$A$2:$A$877,$A42,Avaliação!$C$2:$C$877,$B42,Avaliação!$E$2:$E$877,"Gerenciado",Avaliação!$M$2:$M$877,1)</f>
        <v/>
      </c>
      <c r="J42" s="5">
        <f>COUNTIFS(Avaliação!$A$2:$A$877,$A42,Avaliação!$C$2:$C$877,$B42,Avaliação!$E$2:$E$877,"Melhoria Contínua",Avaliação!$M$2:$M$877,1)</f>
        <v/>
      </c>
      <c r="K42" s="5">
        <f>COUNTIFS(Avaliação!$A$2:$A$877,$A42,Avaliação!$C$2:$C$877,$B42,Avaliação!$E$2:$E$877,"Inicial",Avaliação!$N$2:$N$877,1)</f>
        <v/>
      </c>
      <c r="L42" s="5">
        <f>COUNTIFS(Avaliação!$A$2:$A$877,$A42,Avaliação!$C$2:$C$877,$B42,Avaliação!$E$2:$E$877,"Gerenciado",Avaliação!$N$2:$N$877,1)</f>
        <v/>
      </c>
      <c r="M42" s="5">
        <f>COUNTIFS(Avaliação!$A$2:$A$877,$A42,Avaliação!$C$2:$C$877,$B42,Avaliação!$E$2:$E$877,"Melhoria Contínua",Avaliação!$N$2:$N$877,1)</f>
        <v/>
      </c>
      <c r="N42" s="10">
        <f>IF(H42&lt;E42,v_ini*H42/E42,IF(I42&lt;F42,v_ini+(v_ger-v_ini)*I42/F42,IF(J42&lt;G42,v_ger+(v_mc-v_ger)*J42/G42,v_mc)))</f>
        <v/>
      </c>
      <c r="O42" s="10">
        <f>IF(K42&lt;E42,v_ini*K42/E42,IF(L42&lt;F42,v_ini+(v_ger-v_ini)*L42/F42,IF(M42&lt;G42,v_ger+(v_mc-v_ger)*M42/G42,v_mc)))</f>
        <v/>
      </c>
    </row>
    <row r="43">
      <c r="A43" s="5" t="inlineStr">
        <is>
          <t>ANAC</t>
        </is>
      </c>
      <c r="B43" s="5" t="inlineStr">
        <is>
          <t>AIR_MET</t>
        </is>
      </c>
      <c r="C43" s="5" t="n">
        <v>1</v>
      </c>
      <c r="D43" s="5" t="n">
        <v>0.35</v>
      </c>
      <c r="E43" s="5">
        <f>COUNTIFS(Condições!$C$2:$C$74,$B43,Condições!$E$2:$E$74,"Inicial")</f>
        <v/>
      </c>
      <c r="F43" s="5">
        <f>COUNTIFS(Condições!$C$2:$C$74,$B43,Condições!$E$2:$E$74,"Gerenciado")</f>
        <v/>
      </c>
      <c r="G43" s="5">
        <f>COUNTIFS(Condições!$C$2:$C$74,$B43,Condições!$E$2:$E$74,"Melhoria Contínua")</f>
        <v/>
      </c>
      <c r="H43" s="5">
        <f>COUNTIFS(Avaliação!$A$2:$A$877,$A43,Avaliação!$C$2:$C$877,$B43,Avaliação!$E$2:$E$877,"Inicial",Avaliação!$M$2:$M$877,1)</f>
        <v/>
      </c>
      <c r="I43" s="5">
        <f>COUNTIFS(Avaliação!$A$2:$A$877,$A43,Avaliação!$C$2:$C$877,$B43,Avaliação!$E$2:$E$877,"Gerenciado",Avaliação!$M$2:$M$877,1)</f>
        <v/>
      </c>
      <c r="J43" s="5">
        <f>COUNTIFS(Avaliação!$A$2:$A$877,$A43,Avaliação!$C$2:$C$877,$B43,Avaliação!$E$2:$E$877,"Melhoria Contínua",Avaliação!$M$2:$M$877,1)</f>
        <v/>
      </c>
      <c r="K43" s="5">
        <f>COUNTIFS(Avaliação!$A$2:$A$877,$A43,Avaliação!$C$2:$C$877,$B43,Avaliação!$E$2:$E$877,"Inicial",Avaliação!$N$2:$N$877,1)</f>
        <v/>
      </c>
      <c r="L43" s="5">
        <f>COUNTIFS(Avaliação!$A$2:$A$877,$A43,Avaliação!$C$2:$C$877,$B43,Avaliação!$E$2:$E$877,"Gerenciado",Avaliação!$N$2:$N$877,1)</f>
        <v/>
      </c>
      <c r="M43" s="5">
        <f>COUNTIFS(Avaliação!$A$2:$A$877,$A43,Avaliação!$C$2:$C$877,$B43,Avaliação!$E$2:$E$877,"Melhoria Contínua",Avaliação!$N$2:$N$877,1)</f>
        <v/>
      </c>
      <c r="N43" s="10">
        <f>IF(H43&lt;E43,v_ini*H43/E43,IF(I43&lt;F43,v_ini+(v_ger-v_ini)*I43/F43,IF(J43&lt;G43,v_ger+(v_mc-v_ger)*J43/G43,v_mc)))</f>
        <v/>
      </c>
      <c r="O43" s="10">
        <f>IF(K43&lt;E43,v_ini*K43/E43,IF(L43&lt;F43,v_ini+(v_ger-v_ini)*L43/F43,IF(M43&lt;G43,v_ger+(v_mc-v_ger)*M43/G43,v_mc)))</f>
        <v/>
      </c>
    </row>
    <row r="44">
      <c r="A44" s="5" t="inlineStr">
        <is>
          <t>ANAC</t>
        </is>
      </c>
      <c r="B44" s="5" t="inlineStr">
        <is>
          <t>AIR_PRO</t>
        </is>
      </c>
      <c r="C44" s="5" t="n">
        <v>1</v>
      </c>
      <c r="D44" s="5" t="n">
        <v>0.35</v>
      </c>
      <c r="E44" s="5">
        <f>COUNTIFS(Condições!$C$2:$C$74,$B44,Condições!$E$2:$E$74,"Inicial")</f>
        <v/>
      </c>
      <c r="F44" s="5">
        <f>COUNTIFS(Condições!$C$2:$C$74,$B44,Condições!$E$2:$E$74,"Gerenciado")</f>
        <v/>
      </c>
      <c r="G44" s="5">
        <f>COUNTIFS(Condições!$C$2:$C$74,$B44,Condições!$E$2:$E$74,"Melhoria Contínua")</f>
        <v/>
      </c>
      <c r="H44" s="5">
        <f>COUNTIFS(Avaliação!$A$2:$A$877,$A44,Avaliação!$C$2:$C$877,$B44,Avaliação!$E$2:$E$877,"Inicial",Avaliação!$M$2:$M$877,1)</f>
        <v/>
      </c>
      <c r="I44" s="5">
        <f>COUNTIFS(Avaliação!$A$2:$A$877,$A44,Avaliação!$C$2:$C$877,$B44,Avaliação!$E$2:$E$877,"Gerenciado",Avaliação!$M$2:$M$877,1)</f>
        <v/>
      </c>
      <c r="J44" s="5">
        <f>COUNTIFS(Avaliação!$A$2:$A$877,$A44,Avaliação!$C$2:$C$877,$B44,Avaliação!$E$2:$E$877,"Melhoria Contínua",Avaliação!$M$2:$M$877,1)</f>
        <v/>
      </c>
      <c r="K44" s="5">
        <f>COUNTIFS(Avaliação!$A$2:$A$877,$A44,Avaliação!$C$2:$C$877,$B44,Avaliação!$E$2:$E$877,"Inicial",Avaliação!$N$2:$N$877,1)</f>
        <v/>
      </c>
      <c r="L44" s="5">
        <f>COUNTIFS(Avaliação!$A$2:$A$877,$A44,Avaliação!$C$2:$C$877,$B44,Avaliação!$E$2:$E$877,"Gerenciado",Avaliação!$N$2:$N$877,1)</f>
        <v/>
      </c>
      <c r="M44" s="5">
        <f>COUNTIFS(Avaliação!$A$2:$A$877,$A44,Avaliação!$C$2:$C$877,$B44,Avaliação!$E$2:$E$877,"Melhoria Contínua",Avaliação!$N$2:$N$877,1)</f>
        <v/>
      </c>
      <c r="N44" s="10">
        <f>IF(H44&lt;E44,v_ini*H44/E44,IF(I44&lt;F44,v_ini+(v_ger-v_ini)*I44/F44,IF(J44&lt;G44,v_ger+(v_mc-v_ger)*J44/G44,v_mc)))</f>
        <v/>
      </c>
      <c r="O44" s="10">
        <f>IF(K44&lt;E44,v_ini*K44/E44,IF(L44&lt;F44,v_ini+(v_ger-v_ini)*L44/F44,IF(M44&lt;G44,v_ger+(v_mc-v_ger)*M44/G44,v_mc)))</f>
        <v/>
      </c>
    </row>
    <row r="45">
      <c r="A45" s="5" t="inlineStr">
        <is>
          <t>ANAC</t>
        </is>
      </c>
      <c r="B45" s="5" t="inlineStr">
        <is>
          <t>PS</t>
        </is>
      </c>
      <c r="C45" s="5" t="n">
        <v>2</v>
      </c>
      <c r="D45" s="5" t="n">
        <v>1</v>
      </c>
      <c r="E45" s="5">
        <f>COUNTIFS(Condições!$C$2:$C$74,$B45,Condições!$E$2:$E$74,"Inicial")</f>
        <v/>
      </c>
      <c r="F45" s="5">
        <f>COUNTIFS(Condições!$C$2:$C$74,$B45,Condições!$E$2:$E$74,"Gerenciado")</f>
        <v/>
      </c>
      <c r="G45" s="5">
        <f>COUNTIFS(Condições!$C$2:$C$74,$B45,Condições!$E$2:$E$74,"Melhoria Contínua")</f>
        <v/>
      </c>
      <c r="H45" s="5">
        <f>COUNTIFS(Avaliação!$A$2:$A$877,$A45,Avaliação!$C$2:$C$877,$B45,Avaliação!$E$2:$E$877,"Inicial",Avaliação!$M$2:$M$877,1)</f>
        <v/>
      </c>
      <c r="I45" s="5">
        <f>COUNTIFS(Avaliação!$A$2:$A$877,$A45,Avaliação!$C$2:$C$877,$B45,Avaliação!$E$2:$E$877,"Gerenciado",Avaliação!$M$2:$M$877,1)</f>
        <v/>
      </c>
      <c r="J45" s="5">
        <f>COUNTIFS(Avaliação!$A$2:$A$877,$A45,Avaliação!$C$2:$C$877,$B45,Avaliação!$E$2:$E$877,"Melhoria Contínua",Avaliação!$M$2:$M$877,1)</f>
        <v/>
      </c>
      <c r="K45" s="5">
        <f>COUNTIFS(Avaliação!$A$2:$A$877,$A45,Avaliação!$C$2:$C$877,$B45,Avaliação!$E$2:$E$877,"Inicial",Avaliação!$N$2:$N$877,1)</f>
        <v/>
      </c>
      <c r="L45" s="5">
        <f>COUNTIFS(Avaliação!$A$2:$A$877,$A45,Avaliação!$C$2:$C$877,$B45,Avaliação!$E$2:$E$877,"Gerenciado",Avaliação!$N$2:$N$877,1)</f>
        <v/>
      </c>
      <c r="M45" s="5">
        <f>COUNTIFS(Avaliação!$A$2:$A$877,$A45,Avaliação!$C$2:$C$877,$B45,Avaliação!$E$2:$E$877,"Melhoria Contínua",Avaliação!$N$2:$N$877,1)</f>
        <v/>
      </c>
      <c r="N45" s="10">
        <f>IF(H45&lt;E45,v_ini*H45/E45,IF(I45&lt;F45,v_ini+(v_ger-v_ini)*I45/F45,IF(J45&lt;G45,v_ger+(v_mc-v_ger)*J45/G45,v_mc)))</f>
        <v/>
      </c>
      <c r="O45" s="10">
        <f>IF(K45&lt;E45,v_ini*K45/E45,IF(L45&lt;F45,v_ini+(v_ger-v_ini)*L45/F45,IF(M45&lt;G45,v_ger+(v_mc-v_ger)*M45/G45,v_mc)))</f>
        <v/>
      </c>
    </row>
    <row r="46">
      <c r="A46" s="5" t="inlineStr">
        <is>
          <t>ANAC</t>
        </is>
      </c>
      <c r="B46" s="5" t="inlineStr">
        <is>
          <t>EST</t>
        </is>
      </c>
      <c r="C46" s="5" t="n">
        <v>3</v>
      </c>
      <c r="D46" s="5" t="n">
        <v>1</v>
      </c>
      <c r="E46" s="5">
        <f>COUNTIFS(Condições!$C$2:$C$74,$B46,Condições!$E$2:$E$74,"Inicial")</f>
        <v/>
      </c>
      <c r="F46" s="5">
        <f>COUNTIFS(Condições!$C$2:$C$74,$B46,Condições!$E$2:$E$74,"Gerenciado")</f>
        <v/>
      </c>
      <c r="G46" s="5">
        <f>COUNTIFS(Condições!$C$2:$C$74,$B46,Condições!$E$2:$E$74,"Melhoria Contínua")</f>
        <v/>
      </c>
      <c r="H46" s="5">
        <f>COUNTIFS(Avaliação!$A$2:$A$877,$A46,Avaliação!$C$2:$C$877,$B46,Avaliação!$E$2:$E$877,"Inicial",Avaliação!$M$2:$M$877,1)</f>
        <v/>
      </c>
      <c r="I46" s="5">
        <f>COUNTIFS(Avaliação!$A$2:$A$877,$A46,Avaliação!$C$2:$C$877,$B46,Avaliação!$E$2:$E$877,"Gerenciado",Avaliação!$M$2:$M$877,1)</f>
        <v/>
      </c>
      <c r="J46" s="5">
        <f>COUNTIFS(Avaliação!$A$2:$A$877,$A46,Avaliação!$C$2:$C$877,$B46,Avaliação!$E$2:$E$877,"Melhoria Contínua",Avaliação!$M$2:$M$877,1)</f>
        <v/>
      </c>
      <c r="K46" s="5">
        <f>COUNTIFS(Avaliação!$A$2:$A$877,$A46,Avaliação!$C$2:$C$877,$B46,Avaliação!$E$2:$E$877,"Inicial",Avaliação!$N$2:$N$877,1)</f>
        <v/>
      </c>
      <c r="L46" s="5">
        <f>COUNTIFS(Avaliação!$A$2:$A$877,$A46,Avaliação!$C$2:$C$877,$B46,Avaliação!$E$2:$E$877,"Gerenciado",Avaliação!$N$2:$N$877,1)</f>
        <v/>
      </c>
      <c r="M46" s="5">
        <f>COUNTIFS(Avaliação!$A$2:$A$877,$A46,Avaliação!$C$2:$C$877,$B46,Avaliação!$E$2:$E$877,"Melhoria Contínua",Avaliação!$N$2:$N$877,1)</f>
        <v/>
      </c>
      <c r="N46" s="10">
        <f>IF(H46&lt;E46,v_ini*H46/E46,IF(I46&lt;F46,v_ini+(v_ger-v_ini)*I46/F46,IF(J46&lt;G46,v_ger+(v_mc-v_ger)*J46/G46,v_mc)))</f>
        <v/>
      </c>
      <c r="O46" s="10">
        <f>IF(K46&lt;E46,v_ini*K46/E46,IF(L46&lt;F46,v_ini+(v_ger-v_ini)*L46/F46,IF(M46&lt;G46,v_ger+(v_mc-v_ger)*M46/G46,v_mc)))</f>
        <v/>
      </c>
    </row>
    <row r="47">
      <c r="A47" s="5" t="inlineStr">
        <is>
          <t>ANAC</t>
        </is>
      </c>
      <c r="B47" s="5" t="inlineStr">
        <is>
          <t>AGE</t>
        </is>
      </c>
      <c r="C47" s="5" t="n">
        <v>4</v>
      </c>
      <c r="D47" s="5" t="n">
        <v>1</v>
      </c>
      <c r="E47" s="5">
        <f>COUNTIFS(Condições!$C$2:$C$74,$B47,Condições!$E$2:$E$74,"Inicial")</f>
        <v/>
      </c>
      <c r="F47" s="5">
        <f>COUNTIFS(Condições!$C$2:$C$74,$B47,Condições!$E$2:$E$74,"Gerenciado")</f>
        <v/>
      </c>
      <c r="G47" s="5">
        <f>COUNTIFS(Condições!$C$2:$C$74,$B47,Condições!$E$2:$E$74,"Melhoria Contínua")</f>
        <v/>
      </c>
      <c r="H47" s="5">
        <f>COUNTIFS(Avaliação!$A$2:$A$877,$A47,Avaliação!$C$2:$C$877,$B47,Avaliação!$E$2:$E$877,"Inicial",Avaliação!$M$2:$M$877,1)</f>
        <v/>
      </c>
      <c r="I47" s="5">
        <f>COUNTIFS(Avaliação!$A$2:$A$877,$A47,Avaliação!$C$2:$C$877,$B47,Avaliação!$E$2:$E$877,"Gerenciado",Avaliação!$M$2:$M$877,1)</f>
        <v/>
      </c>
      <c r="J47" s="5">
        <f>COUNTIFS(Avaliação!$A$2:$A$877,$A47,Avaliação!$C$2:$C$877,$B47,Avaliação!$E$2:$E$877,"Melhoria Contínua",Avaliação!$M$2:$M$877,1)</f>
        <v/>
      </c>
      <c r="K47" s="5">
        <f>COUNTIFS(Avaliação!$A$2:$A$877,$A47,Avaliação!$C$2:$C$877,$B47,Avaliação!$E$2:$E$877,"Inicial",Avaliação!$N$2:$N$877,1)</f>
        <v/>
      </c>
      <c r="L47" s="5">
        <f>COUNTIFS(Avaliação!$A$2:$A$877,$A47,Avaliação!$C$2:$C$877,$B47,Avaliação!$E$2:$E$877,"Gerenciado",Avaliação!$N$2:$N$877,1)</f>
        <v/>
      </c>
      <c r="M47" s="5">
        <f>COUNTIFS(Avaliação!$A$2:$A$877,$A47,Avaliação!$C$2:$C$877,$B47,Avaliação!$E$2:$E$877,"Melhoria Contínua",Avaliação!$N$2:$N$877,1)</f>
        <v/>
      </c>
      <c r="N47" s="10">
        <f>IF(H47&lt;E47,v_ini*H47/E47,IF(I47&lt;F47,v_ini+(v_ger-v_ini)*I47/F47,IF(J47&lt;G47,v_ger+(v_mc-v_ger)*J47/G47,v_mc)))</f>
        <v/>
      </c>
      <c r="O47" s="10">
        <f>IF(K47&lt;E47,v_ini*K47/E47,IF(L47&lt;F47,v_ini+(v_ger-v_ini)*L47/F47,IF(M47&lt;G47,v_ger+(v_mc-v_ger)*M47/G47,v_mc)))</f>
        <v/>
      </c>
    </row>
    <row r="48">
      <c r="A48" s="5" t="inlineStr">
        <is>
          <t>ANAC</t>
        </is>
      </c>
      <c r="B48" s="5" t="inlineStr">
        <is>
          <t>PRO</t>
        </is>
      </c>
      <c r="C48" s="5" t="n">
        <v>5</v>
      </c>
      <c r="D48" s="5" t="n">
        <v>1</v>
      </c>
      <c r="E48" s="5">
        <f>COUNTIFS(Condições!$C$2:$C$74,$B48,Condições!$E$2:$E$74,"Inicial")</f>
        <v/>
      </c>
      <c r="F48" s="5">
        <f>COUNTIFS(Condições!$C$2:$C$74,$B48,Condições!$E$2:$E$74,"Gerenciado")</f>
        <v/>
      </c>
      <c r="G48" s="5">
        <f>COUNTIFS(Condições!$C$2:$C$74,$B48,Condições!$E$2:$E$74,"Melhoria Contínua")</f>
        <v/>
      </c>
      <c r="H48" s="5">
        <f>COUNTIFS(Avaliação!$A$2:$A$877,$A48,Avaliação!$C$2:$C$877,$B48,Avaliação!$E$2:$E$877,"Inicial",Avaliação!$M$2:$M$877,1)</f>
        <v/>
      </c>
      <c r="I48" s="5">
        <f>COUNTIFS(Avaliação!$A$2:$A$877,$A48,Avaliação!$C$2:$C$877,$B48,Avaliação!$E$2:$E$877,"Gerenciado",Avaliação!$M$2:$M$877,1)</f>
        <v/>
      </c>
      <c r="J48" s="5">
        <f>COUNTIFS(Avaliação!$A$2:$A$877,$A48,Avaliação!$C$2:$C$877,$B48,Avaliação!$E$2:$E$877,"Melhoria Contínua",Avaliação!$M$2:$M$877,1)</f>
        <v/>
      </c>
      <c r="K48" s="5">
        <f>COUNTIFS(Avaliação!$A$2:$A$877,$A48,Avaliação!$C$2:$C$877,$B48,Avaliação!$E$2:$E$877,"Inicial",Avaliação!$N$2:$N$877,1)</f>
        <v/>
      </c>
      <c r="L48" s="5">
        <f>COUNTIFS(Avaliação!$A$2:$A$877,$A48,Avaliação!$C$2:$C$877,$B48,Avaliação!$E$2:$E$877,"Gerenciado",Avaliação!$N$2:$N$877,1)</f>
        <v/>
      </c>
      <c r="M48" s="5">
        <f>COUNTIFS(Avaliação!$A$2:$A$877,$A48,Avaliação!$C$2:$C$877,$B48,Avaliação!$E$2:$E$877,"Melhoria Contínua",Avaliação!$N$2:$N$877,1)</f>
        <v/>
      </c>
      <c r="N48" s="10">
        <f>IF(H48&lt;E48,v_ini*H48/E48,IF(I48&lt;F48,v_ini+(v_ger-v_ini)*I48/F48,IF(J48&lt;G48,v_ger+(v_mc-v_ger)*J48/G48,v_mc)))</f>
        <v/>
      </c>
      <c r="O48" s="10">
        <f>IF(K48&lt;E48,v_ini*K48/E48,IF(L48&lt;F48,v_ini+(v_ger-v_ini)*L48/F48,IF(M48&lt;G48,v_ger+(v_mc-v_ger)*M48/G48,v_mc)))</f>
        <v/>
      </c>
    </row>
    <row r="49">
      <c r="A49" s="5" t="inlineStr">
        <is>
          <t>ANAC</t>
        </is>
      </c>
      <c r="B49" s="5" t="inlineStr">
        <is>
          <t>ARR_CAP</t>
        </is>
      </c>
      <c r="C49" s="5" t="n">
        <v>6</v>
      </c>
      <c r="D49" s="5" t="n">
        <v>0.3</v>
      </c>
      <c r="E49" s="5">
        <f>COUNTIFS(Condições!$C$2:$C$74,$B49,Condições!$E$2:$E$74,"Inicial")</f>
        <v/>
      </c>
      <c r="F49" s="5">
        <f>COUNTIFS(Condições!$C$2:$C$74,$B49,Condições!$E$2:$E$74,"Gerenciado")</f>
        <v/>
      </c>
      <c r="G49" s="5">
        <f>COUNTIFS(Condições!$C$2:$C$74,$B49,Condições!$E$2:$E$74,"Melhoria Contínua")</f>
        <v/>
      </c>
      <c r="H49" s="5">
        <f>COUNTIFS(Avaliação!$A$2:$A$877,$A49,Avaliação!$C$2:$C$877,$B49,Avaliação!$E$2:$E$877,"Inicial",Avaliação!$M$2:$M$877,1)</f>
        <v/>
      </c>
      <c r="I49" s="5">
        <f>COUNTIFS(Avaliação!$A$2:$A$877,$A49,Avaliação!$C$2:$C$877,$B49,Avaliação!$E$2:$E$877,"Gerenciado",Avaliação!$M$2:$M$877,1)</f>
        <v/>
      </c>
      <c r="J49" s="5">
        <f>COUNTIFS(Avaliação!$A$2:$A$877,$A49,Avaliação!$C$2:$C$877,$B49,Avaliação!$E$2:$E$877,"Melhoria Contínua",Avaliação!$M$2:$M$877,1)</f>
        <v/>
      </c>
      <c r="K49" s="5">
        <f>COUNTIFS(Avaliação!$A$2:$A$877,$A49,Avaliação!$C$2:$C$877,$B49,Avaliação!$E$2:$E$877,"Inicial",Avaliação!$N$2:$N$877,1)</f>
        <v/>
      </c>
      <c r="L49" s="5">
        <f>COUNTIFS(Avaliação!$A$2:$A$877,$A49,Avaliação!$C$2:$C$877,$B49,Avaliação!$E$2:$E$877,"Gerenciado",Avaliação!$N$2:$N$877,1)</f>
        <v/>
      </c>
      <c r="M49" s="5">
        <f>COUNTIFS(Avaliação!$A$2:$A$877,$A49,Avaliação!$C$2:$C$877,$B49,Avaliação!$E$2:$E$877,"Melhoria Contínua",Avaliação!$N$2:$N$877,1)</f>
        <v/>
      </c>
      <c r="N49" s="10">
        <f>IF(H49&lt;E49,v_ini*H49/E49,IF(I49&lt;F49,v_ini+(v_ger-v_ini)*I49/F49,IF(J49&lt;G49,v_ger+(v_mc-v_ger)*J49/G49,v_mc)))</f>
        <v/>
      </c>
      <c r="O49" s="10">
        <f>IF(K49&lt;E49,v_ini*K49/E49,IF(L49&lt;F49,v_ini+(v_ger-v_ini)*L49/F49,IF(M49&lt;G49,v_ger+(v_mc-v_ger)*M49/G49,v_mc)))</f>
        <v/>
      </c>
    </row>
    <row r="50">
      <c r="A50" s="5" t="inlineStr">
        <is>
          <t>ANAC</t>
        </is>
      </c>
      <c r="B50" s="5" t="inlineStr">
        <is>
          <t>ARR_MET</t>
        </is>
      </c>
      <c r="C50" s="5" t="n">
        <v>6</v>
      </c>
      <c r="D50" s="5" t="n">
        <v>0.35</v>
      </c>
      <c r="E50" s="5">
        <f>COUNTIFS(Condições!$C$2:$C$74,$B50,Condições!$E$2:$E$74,"Inicial")</f>
        <v/>
      </c>
      <c r="F50" s="5">
        <f>COUNTIFS(Condições!$C$2:$C$74,$B50,Condições!$E$2:$E$74,"Gerenciado")</f>
        <v/>
      </c>
      <c r="G50" s="5">
        <f>COUNTIFS(Condições!$C$2:$C$74,$B50,Condições!$E$2:$E$74,"Melhoria Contínua")</f>
        <v/>
      </c>
      <c r="H50" s="5">
        <f>COUNTIFS(Avaliação!$A$2:$A$877,$A50,Avaliação!$C$2:$C$877,$B50,Avaliação!$E$2:$E$877,"Inicial",Avaliação!$M$2:$M$877,1)</f>
        <v/>
      </c>
      <c r="I50" s="5">
        <f>COUNTIFS(Avaliação!$A$2:$A$877,$A50,Avaliação!$C$2:$C$877,$B50,Avaliação!$E$2:$E$877,"Gerenciado",Avaliação!$M$2:$M$877,1)</f>
        <v/>
      </c>
      <c r="J50" s="5">
        <f>COUNTIFS(Avaliação!$A$2:$A$877,$A50,Avaliação!$C$2:$C$877,$B50,Avaliação!$E$2:$E$877,"Melhoria Contínua",Avaliação!$M$2:$M$877,1)</f>
        <v/>
      </c>
      <c r="K50" s="5">
        <f>COUNTIFS(Avaliação!$A$2:$A$877,$A50,Avaliação!$C$2:$C$877,$B50,Avaliação!$E$2:$E$877,"Inicial",Avaliação!$N$2:$N$877,1)</f>
        <v/>
      </c>
      <c r="L50" s="5">
        <f>COUNTIFS(Avaliação!$A$2:$A$877,$A50,Avaliação!$C$2:$C$877,$B50,Avaliação!$E$2:$E$877,"Gerenciado",Avaliação!$N$2:$N$877,1)</f>
        <v/>
      </c>
      <c r="M50" s="5">
        <f>COUNTIFS(Avaliação!$A$2:$A$877,$A50,Avaliação!$C$2:$C$877,$B50,Avaliação!$E$2:$E$877,"Melhoria Contínua",Avaliação!$N$2:$N$877,1)</f>
        <v/>
      </c>
      <c r="N50" s="10">
        <f>IF(H50&lt;E50,v_ini*H50/E50,IF(I50&lt;F50,v_ini+(v_ger-v_ini)*I50/F50,IF(J50&lt;G50,v_ger+(v_mc-v_ger)*J50/G50,v_mc)))</f>
        <v/>
      </c>
      <c r="O50" s="10">
        <f>IF(K50&lt;E50,v_ini*K50/E50,IF(L50&lt;F50,v_ini+(v_ger-v_ini)*L50/F50,IF(M50&lt;G50,v_ger+(v_mc-v_ger)*M50/G50,v_mc)))</f>
        <v/>
      </c>
    </row>
    <row r="51">
      <c r="A51" s="5" t="inlineStr">
        <is>
          <t>ANAC</t>
        </is>
      </c>
      <c r="B51" s="5" t="inlineStr">
        <is>
          <t>ARR_PRO</t>
        </is>
      </c>
      <c r="C51" s="5" t="n">
        <v>6</v>
      </c>
      <c r="D51" s="5" t="n">
        <v>0.35</v>
      </c>
      <c r="E51" s="5">
        <f>COUNTIFS(Condições!$C$2:$C$74,$B51,Condições!$E$2:$E$74,"Inicial")</f>
        <v/>
      </c>
      <c r="F51" s="5">
        <f>COUNTIFS(Condições!$C$2:$C$74,$B51,Condições!$E$2:$E$74,"Gerenciado")</f>
        <v/>
      </c>
      <c r="G51" s="5">
        <f>COUNTIFS(Condições!$C$2:$C$74,$B51,Condições!$E$2:$E$74,"Melhoria Contínua")</f>
        <v/>
      </c>
      <c r="H51" s="5">
        <f>COUNTIFS(Avaliação!$A$2:$A$877,$A51,Avaliação!$C$2:$C$877,$B51,Avaliação!$E$2:$E$877,"Inicial",Avaliação!$M$2:$M$877,1)</f>
        <v/>
      </c>
      <c r="I51" s="5">
        <f>COUNTIFS(Avaliação!$A$2:$A$877,$A51,Avaliação!$C$2:$C$877,$B51,Avaliação!$E$2:$E$877,"Gerenciado",Avaliação!$M$2:$M$877,1)</f>
        <v/>
      </c>
      <c r="J51" s="5">
        <f>COUNTIFS(Avaliação!$A$2:$A$877,$A51,Avaliação!$C$2:$C$877,$B51,Avaliação!$E$2:$E$877,"Melhoria Contínua",Avaliação!$M$2:$M$877,1)</f>
        <v/>
      </c>
      <c r="K51" s="5">
        <f>COUNTIFS(Avaliação!$A$2:$A$877,$A51,Avaliação!$C$2:$C$877,$B51,Avaliação!$E$2:$E$877,"Inicial",Avaliação!$N$2:$N$877,1)</f>
        <v/>
      </c>
      <c r="L51" s="5">
        <f>COUNTIFS(Avaliação!$A$2:$A$877,$A51,Avaliação!$C$2:$C$877,$B51,Avaliação!$E$2:$E$877,"Gerenciado",Avaliação!$N$2:$N$877,1)</f>
        <v/>
      </c>
      <c r="M51" s="5">
        <f>COUNTIFS(Avaliação!$A$2:$A$877,$A51,Avaliação!$C$2:$C$877,$B51,Avaliação!$E$2:$E$877,"Melhoria Contínua",Avaliação!$N$2:$N$877,1)</f>
        <v/>
      </c>
      <c r="N51" s="10">
        <f>IF(H51&lt;E51,v_ini*H51/E51,IF(I51&lt;F51,v_ini+(v_ger-v_ini)*I51/F51,IF(J51&lt;G51,v_ger+(v_mc-v_ger)*J51/G51,v_mc)))</f>
        <v/>
      </c>
      <c r="O51" s="10">
        <f>IF(K51&lt;E51,v_ini*K51/E51,IF(L51&lt;F51,v_ini+(v_ger-v_ini)*L51/F51,IF(M51&lt;G51,v_ger+(v_mc-v_ger)*M51/G51,v_mc)))</f>
        <v/>
      </c>
    </row>
    <row r="52">
      <c r="A52" s="5" t="inlineStr">
        <is>
          <t>ANTAQ</t>
        </is>
      </c>
      <c r="B52" s="5" t="inlineStr">
        <is>
          <t>AIR_CAP</t>
        </is>
      </c>
      <c r="C52" s="5" t="n">
        <v>1</v>
      </c>
      <c r="D52" s="5" t="n">
        <v>0.3</v>
      </c>
      <c r="E52" s="5">
        <f>COUNTIFS(Condições!$C$2:$C$74,$B52,Condições!$E$2:$E$74,"Inicial")</f>
        <v/>
      </c>
      <c r="F52" s="5">
        <f>COUNTIFS(Condições!$C$2:$C$74,$B52,Condições!$E$2:$E$74,"Gerenciado")</f>
        <v/>
      </c>
      <c r="G52" s="5">
        <f>COUNTIFS(Condições!$C$2:$C$74,$B52,Condições!$E$2:$E$74,"Melhoria Contínua")</f>
        <v/>
      </c>
      <c r="H52" s="5">
        <f>COUNTIFS(Avaliação!$A$2:$A$877,$A52,Avaliação!$C$2:$C$877,$B52,Avaliação!$E$2:$E$877,"Inicial",Avaliação!$M$2:$M$877,1)</f>
        <v/>
      </c>
      <c r="I52" s="5">
        <f>COUNTIFS(Avaliação!$A$2:$A$877,$A52,Avaliação!$C$2:$C$877,$B52,Avaliação!$E$2:$E$877,"Gerenciado",Avaliação!$M$2:$M$877,1)</f>
        <v/>
      </c>
      <c r="J52" s="5">
        <f>COUNTIFS(Avaliação!$A$2:$A$877,$A52,Avaliação!$C$2:$C$877,$B52,Avaliação!$E$2:$E$877,"Melhoria Contínua",Avaliação!$M$2:$M$877,1)</f>
        <v/>
      </c>
      <c r="K52" s="5">
        <f>COUNTIFS(Avaliação!$A$2:$A$877,$A52,Avaliação!$C$2:$C$877,$B52,Avaliação!$E$2:$E$877,"Inicial",Avaliação!$N$2:$N$877,1)</f>
        <v/>
      </c>
      <c r="L52" s="5">
        <f>COUNTIFS(Avaliação!$A$2:$A$877,$A52,Avaliação!$C$2:$C$877,$B52,Avaliação!$E$2:$E$877,"Gerenciado",Avaliação!$N$2:$N$877,1)</f>
        <v/>
      </c>
      <c r="M52" s="5">
        <f>COUNTIFS(Avaliação!$A$2:$A$877,$A52,Avaliação!$C$2:$C$877,$B52,Avaliação!$E$2:$E$877,"Melhoria Contínua",Avaliação!$N$2:$N$877,1)</f>
        <v/>
      </c>
      <c r="N52" s="10">
        <f>IF(H52&lt;E52,v_ini*H52/E52,IF(I52&lt;F52,v_ini+(v_ger-v_ini)*I52/F52,IF(J52&lt;G52,v_ger+(v_mc-v_ger)*J52/G52,v_mc)))</f>
        <v/>
      </c>
      <c r="O52" s="10">
        <f>IF(K52&lt;E52,v_ini*K52/E52,IF(L52&lt;F52,v_ini+(v_ger-v_ini)*L52/F52,IF(M52&lt;G52,v_ger+(v_mc-v_ger)*M52/G52,v_mc)))</f>
        <v/>
      </c>
    </row>
    <row r="53">
      <c r="A53" s="5" t="inlineStr">
        <is>
          <t>ANTAQ</t>
        </is>
      </c>
      <c r="B53" s="5" t="inlineStr">
        <is>
          <t>AIR_MET</t>
        </is>
      </c>
      <c r="C53" s="5" t="n">
        <v>1</v>
      </c>
      <c r="D53" s="5" t="n">
        <v>0.35</v>
      </c>
      <c r="E53" s="5">
        <f>COUNTIFS(Condições!$C$2:$C$74,$B53,Condições!$E$2:$E$74,"Inicial")</f>
        <v/>
      </c>
      <c r="F53" s="5">
        <f>COUNTIFS(Condições!$C$2:$C$74,$B53,Condições!$E$2:$E$74,"Gerenciado")</f>
        <v/>
      </c>
      <c r="G53" s="5">
        <f>COUNTIFS(Condições!$C$2:$C$74,$B53,Condições!$E$2:$E$74,"Melhoria Contínua")</f>
        <v/>
      </c>
      <c r="H53" s="5">
        <f>COUNTIFS(Avaliação!$A$2:$A$877,$A53,Avaliação!$C$2:$C$877,$B53,Avaliação!$E$2:$E$877,"Inicial",Avaliação!$M$2:$M$877,1)</f>
        <v/>
      </c>
      <c r="I53" s="5">
        <f>COUNTIFS(Avaliação!$A$2:$A$877,$A53,Avaliação!$C$2:$C$877,$B53,Avaliação!$E$2:$E$877,"Gerenciado",Avaliação!$M$2:$M$877,1)</f>
        <v/>
      </c>
      <c r="J53" s="5">
        <f>COUNTIFS(Avaliação!$A$2:$A$877,$A53,Avaliação!$C$2:$C$877,$B53,Avaliação!$E$2:$E$877,"Melhoria Contínua",Avaliação!$M$2:$M$877,1)</f>
        <v/>
      </c>
      <c r="K53" s="5">
        <f>COUNTIFS(Avaliação!$A$2:$A$877,$A53,Avaliação!$C$2:$C$877,$B53,Avaliação!$E$2:$E$877,"Inicial",Avaliação!$N$2:$N$877,1)</f>
        <v/>
      </c>
      <c r="L53" s="5">
        <f>COUNTIFS(Avaliação!$A$2:$A$877,$A53,Avaliação!$C$2:$C$877,$B53,Avaliação!$E$2:$E$877,"Gerenciado",Avaliação!$N$2:$N$877,1)</f>
        <v/>
      </c>
      <c r="M53" s="5">
        <f>COUNTIFS(Avaliação!$A$2:$A$877,$A53,Avaliação!$C$2:$C$877,$B53,Avaliação!$E$2:$E$877,"Melhoria Contínua",Avaliação!$N$2:$N$877,1)</f>
        <v/>
      </c>
      <c r="N53" s="10">
        <f>IF(H53&lt;E53,v_ini*H53/E53,IF(I53&lt;F53,v_ini+(v_ger-v_ini)*I53/F53,IF(J53&lt;G53,v_ger+(v_mc-v_ger)*J53/G53,v_mc)))</f>
        <v/>
      </c>
      <c r="O53" s="10">
        <f>IF(K53&lt;E53,v_ini*K53/E53,IF(L53&lt;F53,v_ini+(v_ger-v_ini)*L53/F53,IF(M53&lt;G53,v_ger+(v_mc-v_ger)*M53/G53,v_mc)))</f>
        <v/>
      </c>
    </row>
    <row r="54">
      <c r="A54" s="5" t="inlineStr">
        <is>
          <t>ANTAQ</t>
        </is>
      </c>
      <c r="B54" s="5" t="inlineStr">
        <is>
          <t>AIR_PRO</t>
        </is>
      </c>
      <c r="C54" s="5" t="n">
        <v>1</v>
      </c>
      <c r="D54" s="5" t="n">
        <v>0.35</v>
      </c>
      <c r="E54" s="5">
        <f>COUNTIFS(Condições!$C$2:$C$74,$B54,Condições!$E$2:$E$74,"Inicial")</f>
        <v/>
      </c>
      <c r="F54" s="5">
        <f>COUNTIFS(Condições!$C$2:$C$74,$B54,Condições!$E$2:$E$74,"Gerenciado")</f>
        <v/>
      </c>
      <c r="G54" s="5">
        <f>COUNTIFS(Condições!$C$2:$C$74,$B54,Condições!$E$2:$E$74,"Melhoria Contínua")</f>
        <v/>
      </c>
      <c r="H54" s="5">
        <f>COUNTIFS(Avaliação!$A$2:$A$877,$A54,Avaliação!$C$2:$C$877,$B54,Avaliação!$E$2:$E$877,"Inicial",Avaliação!$M$2:$M$877,1)</f>
        <v/>
      </c>
      <c r="I54" s="5">
        <f>COUNTIFS(Avaliação!$A$2:$A$877,$A54,Avaliação!$C$2:$C$877,$B54,Avaliação!$E$2:$E$877,"Gerenciado",Avaliação!$M$2:$M$877,1)</f>
        <v/>
      </c>
      <c r="J54" s="5">
        <f>COUNTIFS(Avaliação!$A$2:$A$877,$A54,Avaliação!$C$2:$C$877,$B54,Avaliação!$E$2:$E$877,"Melhoria Contínua",Avaliação!$M$2:$M$877,1)</f>
        <v/>
      </c>
      <c r="K54" s="5">
        <f>COUNTIFS(Avaliação!$A$2:$A$877,$A54,Avaliação!$C$2:$C$877,$B54,Avaliação!$E$2:$E$877,"Inicial",Avaliação!$N$2:$N$877,1)</f>
        <v/>
      </c>
      <c r="L54" s="5">
        <f>COUNTIFS(Avaliação!$A$2:$A$877,$A54,Avaliação!$C$2:$C$877,$B54,Avaliação!$E$2:$E$877,"Gerenciado",Avaliação!$N$2:$N$877,1)</f>
        <v/>
      </c>
      <c r="M54" s="5">
        <f>COUNTIFS(Avaliação!$A$2:$A$877,$A54,Avaliação!$C$2:$C$877,$B54,Avaliação!$E$2:$E$877,"Melhoria Contínua",Avaliação!$N$2:$N$877,1)</f>
        <v/>
      </c>
      <c r="N54" s="10">
        <f>IF(H54&lt;E54,v_ini*H54/E54,IF(I54&lt;F54,v_ini+(v_ger-v_ini)*I54/F54,IF(J54&lt;G54,v_ger+(v_mc-v_ger)*J54/G54,v_mc)))</f>
        <v/>
      </c>
      <c r="O54" s="10">
        <f>IF(K54&lt;E54,v_ini*K54/E54,IF(L54&lt;F54,v_ini+(v_ger-v_ini)*L54/F54,IF(M54&lt;G54,v_ger+(v_mc-v_ger)*M54/G54,v_mc)))</f>
        <v/>
      </c>
    </row>
    <row r="55">
      <c r="A55" s="5" t="inlineStr">
        <is>
          <t>ANTAQ</t>
        </is>
      </c>
      <c r="B55" s="5" t="inlineStr">
        <is>
          <t>PS</t>
        </is>
      </c>
      <c r="C55" s="5" t="n">
        <v>2</v>
      </c>
      <c r="D55" s="5" t="n">
        <v>1</v>
      </c>
      <c r="E55" s="5">
        <f>COUNTIFS(Condições!$C$2:$C$74,$B55,Condições!$E$2:$E$74,"Inicial")</f>
        <v/>
      </c>
      <c r="F55" s="5">
        <f>COUNTIFS(Condições!$C$2:$C$74,$B55,Condições!$E$2:$E$74,"Gerenciado")</f>
        <v/>
      </c>
      <c r="G55" s="5">
        <f>COUNTIFS(Condições!$C$2:$C$74,$B55,Condições!$E$2:$E$74,"Melhoria Contínua")</f>
        <v/>
      </c>
      <c r="H55" s="5">
        <f>COUNTIFS(Avaliação!$A$2:$A$877,$A55,Avaliação!$C$2:$C$877,$B55,Avaliação!$E$2:$E$877,"Inicial",Avaliação!$M$2:$M$877,1)</f>
        <v/>
      </c>
      <c r="I55" s="5">
        <f>COUNTIFS(Avaliação!$A$2:$A$877,$A55,Avaliação!$C$2:$C$877,$B55,Avaliação!$E$2:$E$877,"Gerenciado",Avaliação!$M$2:$M$877,1)</f>
        <v/>
      </c>
      <c r="J55" s="5">
        <f>COUNTIFS(Avaliação!$A$2:$A$877,$A55,Avaliação!$C$2:$C$877,$B55,Avaliação!$E$2:$E$877,"Melhoria Contínua",Avaliação!$M$2:$M$877,1)</f>
        <v/>
      </c>
      <c r="K55" s="5">
        <f>COUNTIFS(Avaliação!$A$2:$A$877,$A55,Avaliação!$C$2:$C$877,$B55,Avaliação!$E$2:$E$877,"Inicial",Avaliação!$N$2:$N$877,1)</f>
        <v/>
      </c>
      <c r="L55" s="5">
        <f>COUNTIFS(Avaliação!$A$2:$A$877,$A55,Avaliação!$C$2:$C$877,$B55,Avaliação!$E$2:$E$877,"Gerenciado",Avaliação!$N$2:$N$877,1)</f>
        <v/>
      </c>
      <c r="M55" s="5">
        <f>COUNTIFS(Avaliação!$A$2:$A$877,$A55,Avaliação!$C$2:$C$877,$B55,Avaliação!$E$2:$E$877,"Melhoria Contínua",Avaliação!$N$2:$N$877,1)</f>
        <v/>
      </c>
      <c r="N55" s="10">
        <f>IF(H55&lt;E55,v_ini*H55/E55,IF(I55&lt;F55,v_ini+(v_ger-v_ini)*I55/F55,IF(J55&lt;G55,v_ger+(v_mc-v_ger)*J55/G55,v_mc)))</f>
        <v/>
      </c>
      <c r="O55" s="10">
        <f>IF(K55&lt;E55,v_ini*K55/E55,IF(L55&lt;F55,v_ini+(v_ger-v_ini)*L55/F55,IF(M55&lt;G55,v_ger+(v_mc-v_ger)*M55/G55,v_mc)))</f>
        <v/>
      </c>
    </row>
    <row r="56">
      <c r="A56" s="5" t="inlineStr">
        <is>
          <t>ANTAQ</t>
        </is>
      </c>
      <c r="B56" s="5" t="inlineStr">
        <is>
          <t>EST</t>
        </is>
      </c>
      <c r="C56" s="5" t="n">
        <v>3</v>
      </c>
      <c r="D56" s="5" t="n">
        <v>1</v>
      </c>
      <c r="E56" s="5">
        <f>COUNTIFS(Condições!$C$2:$C$74,$B56,Condições!$E$2:$E$74,"Inicial")</f>
        <v/>
      </c>
      <c r="F56" s="5">
        <f>COUNTIFS(Condições!$C$2:$C$74,$B56,Condições!$E$2:$E$74,"Gerenciado")</f>
        <v/>
      </c>
      <c r="G56" s="5">
        <f>COUNTIFS(Condições!$C$2:$C$74,$B56,Condições!$E$2:$E$74,"Melhoria Contínua")</f>
        <v/>
      </c>
      <c r="H56" s="5">
        <f>COUNTIFS(Avaliação!$A$2:$A$877,$A56,Avaliação!$C$2:$C$877,$B56,Avaliação!$E$2:$E$877,"Inicial",Avaliação!$M$2:$M$877,1)</f>
        <v/>
      </c>
      <c r="I56" s="5">
        <f>COUNTIFS(Avaliação!$A$2:$A$877,$A56,Avaliação!$C$2:$C$877,$B56,Avaliação!$E$2:$E$877,"Gerenciado",Avaliação!$M$2:$M$877,1)</f>
        <v/>
      </c>
      <c r="J56" s="5">
        <f>COUNTIFS(Avaliação!$A$2:$A$877,$A56,Avaliação!$C$2:$C$877,$B56,Avaliação!$E$2:$E$877,"Melhoria Contínua",Avaliação!$M$2:$M$877,1)</f>
        <v/>
      </c>
      <c r="K56" s="5">
        <f>COUNTIFS(Avaliação!$A$2:$A$877,$A56,Avaliação!$C$2:$C$877,$B56,Avaliação!$E$2:$E$877,"Inicial",Avaliação!$N$2:$N$877,1)</f>
        <v/>
      </c>
      <c r="L56" s="5">
        <f>COUNTIFS(Avaliação!$A$2:$A$877,$A56,Avaliação!$C$2:$C$877,$B56,Avaliação!$E$2:$E$877,"Gerenciado",Avaliação!$N$2:$N$877,1)</f>
        <v/>
      </c>
      <c r="M56" s="5">
        <f>COUNTIFS(Avaliação!$A$2:$A$877,$A56,Avaliação!$C$2:$C$877,$B56,Avaliação!$E$2:$E$877,"Melhoria Contínua",Avaliação!$N$2:$N$877,1)</f>
        <v/>
      </c>
      <c r="N56" s="10">
        <f>IF(H56&lt;E56,v_ini*H56/E56,IF(I56&lt;F56,v_ini+(v_ger-v_ini)*I56/F56,IF(J56&lt;G56,v_ger+(v_mc-v_ger)*J56/G56,v_mc)))</f>
        <v/>
      </c>
      <c r="O56" s="10">
        <f>IF(K56&lt;E56,v_ini*K56/E56,IF(L56&lt;F56,v_ini+(v_ger-v_ini)*L56/F56,IF(M56&lt;G56,v_ger+(v_mc-v_ger)*M56/G56,v_mc)))</f>
        <v/>
      </c>
    </row>
    <row r="57">
      <c r="A57" s="5" t="inlineStr">
        <is>
          <t>ANTAQ</t>
        </is>
      </c>
      <c r="B57" s="5" t="inlineStr">
        <is>
          <t>AGE</t>
        </is>
      </c>
      <c r="C57" s="5" t="n">
        <v>4</v>
      </c>
      <c r="D57" s="5" t="n">
        <v>1</v>
      </c>
      <c r="E57" s="5">
        <f>COUNTIFS(Condições!$C$2:$C$74,$B57,Condições!$E$2:$E$74,"Inicial")</f>
        <v/>
      </c>
      <c r="F57" s="5">
        <f>COUNTIFS(Condições!$C$2:$C$74,$B57,Condições!$E$2:$E$74,"Gerenciado")</f>
        <v/>
      </c>
      <c r="G57" s="5">
        <f>COUNTIFS(Condições!$C$2:$C$74,$B57,Condições!$E$2:$E$74,"Melhoria Contínua")</f>
        <v/>
      </c>
      <c r="H57" s="5">
        <f>COUNTIFS(Avaliação!$A$2:$A$877,$A57,Avaliação!$C$2:$C$877,$B57,Avaliação!$E$2:$E$877,"Inicial",Avaliação!$M$2:$M$877,1)</f>
        <v/>
      </c>
      <c r="I57" s="5">
        <f>COUNTIFS(Avaliação!$A$2:$A$877,$A57,Avaliação!$C$2:$C$877,$B57,Avaliação!$E$2:$E$877,"Gerenciado",Avaliação!$M$2:$M$877,1)</f>
        <v/>
      </c>
      <c r="J57" s="5">
        <f>COUNTIFS(Avaliação!$A$2:$A$877,$A57,Avaliação!$C$2:$C$877,$B57,Avaliação!$E$2:$E$877,"Melhoria Contínua",Avaliação!$M$2:$M$877,1)</f>
        <v/>
      </c>
      <c r="K57" s="5">
        <f>COUNTIFS(Avaliação!$A$2:$A$877,$A57,Avaliação!$C$2:$C$877,$B57,Avaliação!$E$2:$E$877,"Inicial",Avaliação!$N$2:$N$877,1)</f>
        <v/>
      </c>
      <c r="L57" s="5">
        <f>COUNTIFS(Avaliação!$A$2:$A$877,$A57,Avaliação!$C$2:$C$877,$B57,Avaliação!$E$2:$E$877,"Gerenciado",Avaliação!$N$2:$N$877,1)</f>
        <v/>
      </c>
      <c r="M57" s="5">
        <f>COUNTIFS(Avaliação!$A$2:$A$877,$A57,Avaliação!$C$2:$C$877,$B57,Avaliação!$E$2:$E$877,"Melhoria Contínua",Avaliação!$N$2:$N$877,1)</f>
        <v/>
      </c>
      <c r="N57" s="10">
        <f>IF(H57&lt;E57,v_ini*H57/E57,IF(I57&lt;F57,v_ini+(v_ger-v_ini)*I57/F57,IF(J57&lt;G57,v_ger+(v_mc-v_ger)*J57/G57,v_mc)))</f>
        <v/>
      </c>
      <c r="O57" s="10">
        <f>IF(K57&lt;E57,v_ini*K57/E57,IF(L57&lt;F57,v_ini+(v_ger-v_ini)*L57/F57,IF(M57&lt;G57,v_ger+(v_mc-v_ger)*M57/G57,v_mc)))</f>
        <v/>
      </c>
    </row>
    <row r="58">
      <c r="A58" s="5" t="inlineStr">
        <is>
          <t>ANTAQ</t>
        </is>
      </c>
      <c r="B58" s="5" t="inlineStr">
        <is>
          <t>PRO</t>
        </is>
      </c>
      <c r="C58" s="5" t="n">
        <v>5</v>
      </c>
      <c r="D58" s="5" t="n">
        <v>1</v>
      </c>
      <c r="E58" s="5">
        <f>COUNTIFS(Condições!$C$2:$C$74,$B58,Condições!$E$2:$E$74,"Inicial")</f>
        <v/>
      </c>
      <c r="F58" s="5">
        <f>COUNTIFS(Condições!$C$2:$C$74,$B58,Condições!$E$2:$E$74,"Gerenciado")</f>
        <v/>
      </c>
      <c r="G58" s="5">
        <f>COUNTIFS(Condições!$C$2:$C$74,$B58,Condições!$E$2:$E$74,"Melhoria Contínua")</f>
        <v/>
      </c>
      <c r="H58" s="5">
        <f>COUNTIFS(Avaliação!$A$2:$A$877,$A58,Avaliação!$C$2:$C$877,$B58,Avaliação!$E$2:$E$877,"Inicial",Avaliação!$M$2:$M$877,1)</f>
        <v/>
      </c>
      <c r="I58" s="5">
        <f>COUNTIFS(Avaliação!$A$2:$A$877,$A58,Avaliação!$C$2:$C$877,$B58,Avaliação!$E$2:$E$877,"Gerenciado",Avaliação!$M$2:$M$877,1)</f>
        <v/>
      </c>
      <c r="J58" s="5">
        <f>COUNTIFS(Avaliação!$A$2:$A$877,$A58,Avaliação!$C$2:$C$877,$B58,Avaliação!$E$2:$E$877,"Melhoria Contínua",Avaliação!$M$2:$M$877,1)</f>
        <v/>
      </c>
      <c r="K58" s="5">
        <f>COUNTIFS(Avaliação!$A$2:$A$877,$A58,Avaliação!$C$2:$C$877,$B58,Avaliação!$E$2:$E$877,"Inicial",Avaliação!$N$2:$N$877,1)</f>
        <v/>
      </c>
      <c r="L58" s="5">
        <f>COUNTIFS(Avaliação!$A$2:$A$877,$A58,Avaliação!$C$2:$C$877,$B58,Avaliação!$E$2:$E$877,"Gerenciado",Avaliação!$N$2:$N$877,1)</f>
        <v/>
      </c>
      <c r="M58" s="5">
        <f>COUNTIFS(Avaliação!$A$2:$A$877,$A58,Avaliação!$C$2:$C$877,$B58,Avaliação!$E$2:$E$877,"Melhoria Contínua",Avaliação!$N$2:$N$877,1)</f>
        <v/>
      </c>
      <c r="N58" s="10">
        <f>IF(H58&lt;E58,v_ini*H58/E58,IF(I58&lt;F58,v_ini+(v_ger-v_ini)*I58/F58,IF(J58&lt;G58,v_ger+(v_mc-v_ger)*J58/G58,v_mc)))</f>
        <v/>
      </c>
      <c r="O58" s="10">
        <f>IF(K58&lt;E58,v_ini*K58/E58,IF(L58&lt;F58,v_ini+(v_ger-v_ini)*L58/F58,IF(M58&lt;G58,v_ger+(v_mc-v_ger)*M58/G58,v_mc)))</f>
        <v/>
      </c>
    </row>
    <row r="59">
      <c r="A59" s="5" t="inlineStr">
        <is>
          <t>ANTAQ</t>
        </is>
      </c>
      <c r="B59" s="5" t="inlineStr">
        <is>
          <t>ARR_CAP</t>
        </is>
      </c>
      <c r="C59" s="5" t="n">
        <v>6</v>
      </c>
      <c r="D59" s="5" t="n">
        <v>0.3</v>
      </c>
      <c r="E59" s="5">
        <f>COUNTIFS(Condições!$C$2:$C$74,$B59,Condições!$E$2:$E$74,"Inicial")</f>
        <v/>
      </c>
      <c r="F59" s="5">
        <f>COUNTIFS(Condições!$C$2:$C$74,$B59,Condições!$E$2:$E$74,"Gerenciado")</f>
        <v/>
      </c>
      <c r="G59" s="5">
        <f>COUNTIFS(Condições!$C$2:$C$74,$B59,Condições!$E$2:$E$74,"Melhoria Contínua")</f>
        <v/>
      </c>
      <c r="H59" s="5">
        <f>COUNTIFS(Avaliação!$A$2:$A$877,$A59,Avaliação!$C$2:$C$877,$B59,Avaliação!$E$2:$E$877,"Inicial",Avaliação!$M$2:$M$877,1)</f>
        <v/>
      </c>
      <c r="I59" s="5">
        <f>COUNTIFS(Avaliação!$A$2:$A$877,$A59,Avaliação!$C$2:$C$877,$B59,Avaliação!$E$2:$E$877,"Gerenciado",Avaliação!$M$2:$M$877,1)</f>
        <v/>
      </c>
      <c r="J59" s="5">
        <f>COUNTIFS(Avaliação!$A$2:$A$877,$A59,Avaliação!$C$2:$C$877,$B59,Avaliação!$E$2:$E$877,"Melhoria Contínua",Avaliação!$M$2:$M$877,1)</f>
        <v/>
      </c>
      <c r="K59" s="5">
        <f>COUNTIFS(Avaliação!$A$2:$A$877,$A59,Avaliação!$C$2:$C$877,$B59,Avaliação!$E$2:$E$877,"Inicial",Avaliação!$N$2:$N$877,1)</f>
        <v/>
      </c>
      <c r="L59" s="5">
        <f>COUNTIFS(Avaliação!$A$2:$A$877,$A59,Avaliação!$C$2:$C$877,$B59,Avaliação!$E$2:$E$877,"Gerenciado",Avaliação!$N$2:$N$877,1)</f>
        <v/>
      </c>
      <c r="M59" s="5">
        <f>COUNTIFS(Avaliação!$A$2:$A$877,$A59,Avaliação!$C$2:$C$877,$B59,Avaliação!$E$2:$E$877,"Melhoria Contínua",Avaliação!$N$2:$N$877,1)</f>
        <v/>
      </c>
      <c r="N59" s="10">
        <f>IF(H59&lt;E59,v_ini*H59/E59,IF(I59&lt;F59,v_ini+(v_ger-v_ini)*I59/F59,IF(J59&lt;G59,v_ger+(v_mc-v_ger)*J59/G59,v_mc)))</f>
        <v/>
      </c>
      <c r="O59" s="10">
        <f>IF(K59&lt;E59,v_ini*K59/E59,IF(L59&lt;F59,v_ini+(v_ger-v_ini)*L59/F59,IF(M59&lt;G59,v_ger+(v_mc-v_ger)*M59/G59,v_mc)))</f>
        <v/>
      </c>
    </row>
    <row r="60">
      <c r="A60" s="5" t="inlineStr">
        <is>
          <t>ANTAQ</t>
        </is>
      </c>
      <c r="B60" s="5" t="inlineStr">
        <is>
          <t>ARR_MET</t>
        </is>
      </c>
      <c r="C60" s="5" t="n">
        <v>6</v>
      </c>
      <c r="D60" s="5" t="n">
        <v>0.35</v>
      </c>
      <c r="E60" s="5">
        <f>COUNTIFS(Condições!$C$2:$C$74,$B60,Condições!$E$2:$E$74,"Inicial")</f>
        <v/>
      </c>
      <c r="F60" s="5">
        <f>COUNTIFS(Condições!$C$2:$C$74,$B60,Condições!$E$2:$E$74,"Gerenciado")</f>
        <v/>
      </c>
      <c r="G60" s="5">
        <f>COUNTIFS(Condições!$C$2:$C$74,$B60,Condições!$E$2:$E$74,"Melhoria Contínua")</f>
        <v/>
      </c>
      <c r="H60" s="5">
        <f>COUNTIFS(Avaliação!$A$2:$A$877,$A60,Avaliação!$C$2:$C$877,$B60,Avaliação!$E$2:$E$877,"Inicial",Avaliação!$M$2:$M$877,1)</f>
        <v/>
      </c>
      <c r="I60" s="5">
        <f>COUNTIFS(Avaliação!$A$2:$A$877,$A60,Avaliação!$C$2:$C$877,$B60,Avaliação!$E$2:$E$877,"Gerenciado",Avaliação!$M$2:$M$877,1)</f>
        <v/>
      </c>
      <c r="J60" s="5">
        <f>COUNTIFS(Avaliação!$A$2:$A$877,$A60,Avaliação!$C$2:$C$877,$B60,Avaliação!$E$2:$E$877,"Melhoria Contínua",Avaliação!$M$2:$M$877,1)</f>
        <v/>
      </c>
      <c r="K60" s="5">
        <f>COUNTIFS(Avaliação!$A$2:$A$877,$A60,Avaliação!$C$2:$C$877,$B60,Avaliação!$E$2:$E$877,"Inicial",Avaliação!$N$2:$N$877,1)</f>
        <v/>
      </c>
      <c r="L60" s="5">
        <f>COUNTIFS(Avaliação!$A$2:$A$877,$A60,Avaliação!$C$2:$C$877,$B60,Avaliação!$E$2:$E$877,"Gerenciado",Avaliação!$N$2:$N$877,1)</f>
        <v/>
      </c>
      <c r="M60" s="5">
        <f>COUNTIFS(Avaliação!$A$2:$A$877,$A60,Avaliação!$C$2:$C$877,$B60,Avaliação!$E$2:$E$877,"Melhoria Contínua",Avaliação!$N$2:$N$877,1)</f>
        <v/>
      </c>
      <c r="N60" s="10">
        <f>IF(H60&lt;E60,v_ini*H60/E60,IF(I60&lt;F60,v_ini+(v_ger-v_ini)*I60/F60,IF(J60&lt;G60,v_ger+(v_mc-v_ger)*J60/G60,v_mc)))</f>
        <v/>
      </c>
      <c r="O60" s="10">
        <f>IF(K60&lt;E60,v_ini*K60/E60,IF(L60&lt;F60,v_ini+(v_ger-v_ini)*L60/F60,IF(M60&lt;G60,v_ger+(v_mc-v_ger)*M60/G60,v_mc)))</f>
        <v/>
      </c>
    </row>
    <row r="61">
      <c r="A61" s="5" t="inlineStr">
        <is>
          <t>ANTAQ</t>
        </is>
      </c>
      <c r="B61" s="5" t="inlineStr">
        <is>
          <t>ARR_PRO</t>
        </is>
      </c>
      <c r="C61" s="5" t="n">
        <v>6</v>
      </c>
      <c r="D61" s="5" t="n">
        <v>0.35</v>
      </c>
      <c r="E61" s="5">
        <f>COUNTIFS(Condições!$C$2:$C$74,$B61,Condições!$E$2:$E$74,"Inicial")</f>
        <v/>
      </c>
      <c r="F61" s="5">
        <f>COUNTIFS(Condições!$C$2:$C$74,$B61,Condições!$E$2:$E$74,"Gerenciado")</f>
        <v/>
      </c>
      <c r="G61" s="5">
        <f>COUNTIFS(Condições!$C$2:$C$74,$B61,Condições!$E$2:$E$74,"Melhoria Contínua")</f>
        <v/>
      </c>
      <c r="H61" s="5">
        <f>COUNTIFS(Avaliação!$A$2:$A$877,$A61,Avaliação!$C$2:$C$877,$B61,Avaliação!$E$2:$E$877,"Inicial",Avaliação!$M$2:$M$877,1)</f>
        <v/>
      </c>
      <c r="I61" s="5">
        <f>COUNTIFS(Avaliação!$A$2:$A$877,$A61,Avaliação!$C$2:$C$877,$B61,Avaliação!$E$2:$E$877,"Gerenciado",Avaliação!$M$2:$M$877,1)</f>
        <v/>
      </c>
      <c r="J61" s="5">
        <f>COUNTIFS(Avaliação!$A$2:$A$877,$A61,Avaliação!$C$2:$C$877,$B61,Avaliação!$E$2:$E$877,"Melhoria Contínua",Avaliação!$M$2:$M$877,1)</f>
        <v/>
      </c>
      <c r="K61" s="5">
        <f>COUNTIFS(Avaliação!$A$2:$A$877,$A61,Avaliação!$C$2:$C$877,$B61,Avaliação!$E$2:$E$877,"Inicial",Avaliação!$N$2:$N$877,1)</f>
        <v/>
      </c>
      <c r="L61" s="5">
        <f>COUNTIFS(Avaliação!$A$2:$A$877,$A61,Avaliação!$C$2:$C$877,$B61,Avaliação!$E$2:$E$877,"Gerenciado",Avaliação!$N$2:$N$877,1)</f>
        <v/>
      </c>
      <c r="M61" s="5">
        <f>COUNTIFS(Avaliação!$A$2:$A$877,$A61,Avaliação!$C$2:$C$877,$B61,Avaliação!$E$2:$E$877,"Melhoria Contínua",Avaliação!$N$2:$N$877,1)</f>
        <v/>
      </c>
      <c r="N61" s="10">
        <f>IF(H61&lt;E61,v_ini*H61/E61,IF(I61&lt;F61,v_ini+(v_ger-v_ini)*I61/F61,IF(J61&lt;G61,v_ger+(v_mc-v_ger)*J61/G61,v_mc)))</f>
        <v/>
      </c>
      <c r="O61" s="10">
        <f>IF(K61&lt;E61,v_ini*K61/E61,IF(L61&lt;F61,v_ini+(v_ger-v_ini)*L61/F61,IF(M61&lt;G61,v_ger+(v_mc-v_ger)*M61/G61,v_mc)))</f>
        <v/>
      </c>
    </row>
    <row r="62">
      <c r="A62" s="5" t="inlineStr">
        <is>
          <t>ANP</t>
        </is>
      </c>
      <c r="B62" s="5" t="inlineStr">
        <is>
          <t>AIR_CAP</t>
        </is>
      </c>
      <c r="C62" s="5" t="n">
        <v>1</v>
      </c>
      <c r="D62" s="5" t="n">
        <v>0.3</v>
      </c>
      <c r="E62" s="5">
        <f>COUNTIFS(Condições!$C$2:$C$74,$B62,Condições!$E$2:$E$74,"Inicial")</f>
        <v/>
      </c>
      <c r="F62" s="5">
        <f>COUNTIFS(Condições!$C$2:$C$74,$B62,Condições!$E$2:$E$74,"Gerenciado")</f>
        <v/>
      </c>
      <c r="G62" s="5">
        <f>COUNTIFS(Condições!$C$2:$C$74,$B62,Condições!$E$2:$E$74,"Melhoria Contínua")</f>
        <v/>
      </c>
      <c r="H62" s="5">
        <f>COUNTIFS(Avaliação!$A$2:$A$877,$A62,Avaliação!$C$2:$C$877,$B62,Avaliação!$E$2:$E$877,"Inicial",Avaliação!$M$2:$M$877,1)</f>
        <v/>
      </c>
      <c r="I62" s="5">
        <f>COUNTIFS(Avaliação!$A$2:$A$877,$A62,Avaliação!$C$2:$C$877,$B62,Avaliação!$E$2:$E$877,"Gerenciado",Avaliação!$M$2:$M$877,1)</f>
        <v/>
      </c>
      <c r="J62" s="5">
        <f>COUNTIFS(Avaliação!$A$2:$A$877,$A62,Avaliação!$C$2:$C$877,$B62,Avaliação!$E$2:$E$877,"Melhoria Contínua",Avaliação!$M$2:$M$877,1)</f>
        <v/>
      </c>
      <c r="K62" s="5">
        <f>COUNTIFS(Avaliação!$A$2:$A$877,$A62,Avaliação!$C$2:$C$877,$B62,Avaliação!$E$2:$E$877,"Inicial",Avaliação!$N$2:$N$877,1)</f>
        <v/>
      </c>
      <c r="L62" s="5">
        <f>COUNTIFS(Avaliação!$A$2:$A$877,$A62,Avaliação!$C$2:$C$877,$B62,Avaliação!$E$2:$E$877,"Gerenciado",Avaliação!$N$2:$N$877,1)</f>
        <v/>
      </c>
      <c r="M62" s="5">
        <f>COUNTIFS(Avaliação!$A$2:$A$877,$A62,Avaliação!$C$2:$C$877,$B62,Avaliação!$E$2:$E$877,"Melhoria Contínua",Avaliação!$N$2:$N$877,1)</f>
        <v/>
      </c>
      <c r="N62" s="10">
        <f>IF(H62&lt;E62,v_ini*H62/E62,IF(I62&lt;F62,v_ini+(v_ger-v_ini)*I62/F62,IF(J62&lt;G62,v_ger+(v_mc-v_ger)*J62/G62,v_mc)))</f>
        <v/>
      </c>
      <c r="O62" s="10">
        <f>IF(K62&lt;E62,v_ini*K62/E62,IF(L62&lt;F62,v_ini+(v_ger-v_ini)*L62/F62,IF(M62&lt;G62,v_ger+(v_mc-v_ger)*M62/G62,v_mc)))</f>
        <v/>
      </c>
    </row>
    <row r="63">
      <c r="A63" s="5" t="inlineStr">
        <is>
          <t>ANP</t>
        </is>
      </c>
      <c r="B63" s="5" t="inlineStr">
        <is>
          <t>AIR_MET</t>
        </is>
      </c>
      <c r="C63" s="5" t="n">
        <v>1</v>
      </c>
      <c r="D63" s="5" t="n">
        <v>0.35</v>
      </c>
      <c r="E63" s="5">
        <f>COUNTIFS(Condições!$C$2:$C$74,$B63,Condições!$E$2:$E$74,"Inicial")</f>
        <v/>
      </c>
      <c r="F63" s="5">
        <f>COUNTIFS(Condições!$C$2:$C$74,$B63,Condições!$E$2:$E$74,"Gerenciado")</f>
        <v/>
      </c>
      <c r="G63" s="5">
        <f>COUNTIFS(Condições!$C$2:$C$74,$B63,Condições!$E$2:$E$74,"Melhoria Contínua")</f>
        <v/>
      </c>
      <c r="H63" s="5">
        <f>COUNTIFS(Avaliação!$A$2:$A$877,$A63,Avaliação!$C$2:$C$877,$B63,Avaliação!$E$2:$E$877,"Inicial",Avaliação!$M$2:$M$877,1)</f>
        <v/>
      </c>
      <c r="I63" s="5">
        <f>COUNTIFS(Avaliação!$A$2:$A$877,$A63,Avaliação!$C$2:$C$877,$B63,Avaliação!$E$2:$E$877,"Gerenciado",Avaliação!$M$2:$M$877,1)</f>
        <v/>
      </c>
      <c r="J63" s="5">
        <f>COUNTIFS(Avaliação!$A$2:$A$877,$A63,Avaliação!$C$2:$C$877,$B63,Avaliação!$E$2:$E$877,"Melhoria Contínua",Avaliação!$M$2:$M$877,1)</f>
        <v/>
      </c>
      <c r="K63" s="5">
        <f>COUNTIFS(Avaliação!$A$2:$A$877,$A63,Avaliação!$C$2:$C$877,$B63,Avaliação!$E$2:$E$877,"Inicial",Avaliação!$N$2:$N$877,1)</f>
        <v/>
      </c>
      <c r="L63" s="5">
        <f>COUNTIFS(Avaliação!$A$2:$A$877,$A63,Avaliação!$C$2:$C$877,$B63,Avaliação!$E$2:$E$877,"Gerenciado",Avaliação!$N$2:$N$877,1)</f>
        <v/>
      </c>
      <c r="M63" s="5">
        <f>COUNTIFS(Avaliação!$A$2:$A$877,$A63,Avaliação!$C$2:$C$877,$B63,Avaliação!$E$2:$E$877,"Melhoria Contínua",Avaliação!$N$2:$N$877,1)</f>
        <v/>
      </c>
      <c r="N63" s="10">
        <f>IF(H63&lt;E63,v_ini*H63/E63,IF(I63&lt;F63,v_ini+(v_ger-v_ini)*I63/F63,IF(J63&lt;G63,v_ger+(v_mc-v_ger)*J63/G63,v_mc)))</f>
        <v/>
      </c>
      <c r="O63" s="10">
        <f>IF(K63&lt;E63,v_ini*K63/E63,IF(L63&lt;F63,v_ini+(v_ger-v_ini)*L63/F63,IF(M63&lt;G63,v_ger+(v_mc-v_ger)*M63/G63,v_mc)))</f>
        <v/>
      </c>
    </row>
    <row r="64">
      <c r="A64" s="5" t="inlineStr">
        <is>
          <t>ANP</t>
        </is>
      </c>
      <c r="B64" s="5" t="inlineStr">
        <is>
          <t>AIR_PRO</t>
        </is>
      </c>
      <c r="C64" s="5" t="n">
        <v>1</v>
      </c>
      <c r="D64" s="5" t="n">
        <v>0.35</v>
      </c>
      <c r="E64" s="5">
        <f>COUNTIFS(Condições!$C$2:$C$74,$B64,Condições!$E$2:$E$74,"Inicial")</f>
        <v/>
      </c>
      <c r="F64" s="5">
        <f>COUNTIFS(Condições!$C$2:$C$74,$B64,Condições!$E$2:$E$74,"Gerenciado")</f>
        <v/>
      </c>
      <c r="G64" s="5">
        <f>COUNTIFS(Condições!$C$2:$C$74,$B64,Condições!$E$2:$E$74,"Melhoria Contínua")</f>
        <v/>
      </c>
      <c r="H64" s="5">
        <f>COUNTIFS(Avaliação!$A$2:$A$877,$A64,Avaliação!$C$2:$C$877,$B64,Avaliação!$E$2:$E$877,"Inicial",Avaliação!$M$2:$M$877,1)</f>
        <v/>
      </c>
      <c r="I64" s="5">
        <f>COUNTIFS(Avaliação!$A$2:$A$877,$A64,Avaliação!$C$2:$C$877,$B64,Avaliação!$E$2:$E$877,"Gerenciado",Avaliação!$M$2:$M$877,1)</f>
        <v/>
      </c>
      <c r="J64" s="5">
        <f>COUNTIFS(Avaliação!$A$2:$A$877,$A64,Avaliação!$C$2:$C$877,$B64,Avaliação!$E$2:$E$877,"Melhoria Contínua",Avaliação!$M$2:$M$877,1)</f>
        <v/>
      </c>
      <c r="K64" s="5">
        <f>COUNTIFS(Avaliação!$A$2:$A$877,$A64,Avaliação!$C$2:$C$877,$B64,Avaliação!$E$2:$E$877,"Inicial",Avaliação!$N$2:$N$877,1)</f>
        <v/>
      </c>
      <c r="L64" s="5">
        <f>COUNTIFS(Avaliação!$A$2:$A$877,$A64,Avaliação!$C$2:$C$877,$B64,Avaliação!$E$2:$E$877,"Gerenciado",Avaliação!$N$2:$N$877,1)</f>
        <v/>
      </c>
      <c r="M64" s="5">
        <f>COUNTIFS(Avaliação!$A$2:$A$877,$A64,Avaliação!$C$2:$C$877,$B64,Avaliação!$E$2:$E$877,"Melhoria Contínua",Avaliação!$N$2:$N$877,1)</f>
        <v/>
      </c>
      <c r="N64" s="10">
        <f>IF(H64&lt;E64,v_ini*H64/E64,IF(I64&lt;F64,v_ini+(v_ger-v_ini)*I64/F64,IF(J64&lt;G64,v_ger+(v_mc-v_ger)*J64/G64,v_mc)))</f>
        <v/>
      </c>
      <c r="O64" s="10">
        <f>IF(K64&lt;E64,v_ini*K64/E64,IF(L64&lt;F64,v_ini+(v_ger-v_ini)*L64/F64,IF(M64&lt;G64,v_ger+(v_mc-v_ger)*M64/G64,v_mc)))</f>
        <v/>
      </c>
    </row>
    <row r="65">
      <c r="A65" s="5" t="inlineStr">
        <is>
          <t>ANP</t>
        </is>
      </c>
      <c r="B65" s="5" t="inlineStr">
        <is>
          <t>PS</t>
        </is>
      </c>
      <c r="C65" s="5" t="n">
        <v>2</v>
      </c>
      <c r="D65" s="5" t="n">
        <v>1</v>
      </c>
      <c r="E65" s="5">
        <f>COUNTIFS(Condições!$C$2:$C$74,$B65,Condições!$E$2:$E$74,"Inicial")</f>
        <v/>
      </c>
      <c r="F65" s="5">
        <f>COUNTIFS(Condições!$C$2:$C$74,$B65,Condições!$E$2:$E$74,"Gerenciado")</f>
        <v/>
      </c>
      <c r="G65" s="5">
        <f>COUNTIFS(Condições!$C$2:$C$74,$B65,Condições!$E$2:$E$74,"Melhoria Contínua")</f>
        <v/>
      </c>
      <c r="H65" s="5">
        <f>COUNTIFS(Avaliação!$A$2:$A$877,$A65,Avaliação!$C$2:$C$877,$B65,Avaliação!$E$2:$E$877,"Inicial",Avaliação!$M$2:$M$877,1)</f>
        <v/>
      </c>
      <c r="I65" s="5">
        <f>COUNTIFS(Avaliação!$A$2:$A$877,$A65,Avaliação!$C$2:$C$877,$B65,Avaliação!$E$2:$E$877,"Gerenciado",Avaliação!$M$2:$M$877,1)</f>
        <v/>
      </c>
      <c r="J65" s="5">
        <f>COUNTIFS(Avaliação!$A$2:$A$877,$A65,Avaliação!$C$2:$C$877,$B65,Avaliação!$E$2:$E$877,"Melhoria Contínua",Avaliação!$M$2:$M$877,1)</f>
        <v/>
      </c>
      <c r="K65" s="5">
        <f>COUNTIFS(Avaliação!$A$2:$A$877,$A65,Avaliação!$C$2:$C$877,$B65,Avaliação!$E$2:$E$877,"Inicial",Avaliação!$N$2:$N$877,1)</f>
        <v/>
      </c>
      <c r="L65" s="5">
        <f>COUNTIFS(Avaliação!$A$2:$A$877,$A65,Avaliação!$C$2:$C$877,$B65,Avaliação!$E$2:$E$877,"Gerenciado",Avaliação!$N$2:$N$877,1)</f>
        <v/>
      </c>
      <c r="M65" s="5">
        <f>COUNTIFS(Avaliação!$A$2:$A$877,$A65,Avaliação!$C$2:$C$877,$B65,Avaliação!$E$2:$E$877,"Melhoria Contínua",Avaliação!$N$2:$N$877,1)</f>
        <v/>
      </c>
      <c r="N65" s="10">
        <f>IF(H65&lt;E65,v_ini*H65/E65,IF(I65&lt;F65,v_ini+(v_ger-v_ini)*I65/F65,IF(J65&lt;G65,v_ger+(v_mc-v_ger)*J65/G65,v_mc)))</f>
        <v/>
      </c>
      <c r="O65" s="10">
        <f>IF(K65&lt;E65,v_ini*K65/E65,IF(L65&lt;F65,v_ini+(v_ger-v_ini)*L65/F65,IF(M65&lt;G65,v_ger+(v_mc-v_ger)*M65/G65,v_mc)))</f>
        <v/>
      </c>
    </row>
    <row r="66">
      <c r="A66" s="5" t="inlineStr">
        <is>
          <t>ANP</t>
        </is>
      </c>
      <c r="B66" s="5" t="inlineStr">
        <is>
          <t>EST</t>
        </is>
      </c>
      <c r="C66" s="5" t="n">
        <v>3</v>
      </c>
      <c r="D66" s="5" t="n">
        <v>1</v>
      </c>
      <c r="E66" s="5">
        <f>COUNTIFS(Condições!$C$2:$C$74,$B66,Condições!$E$2:$E$74,"Inicial")</f>
        <v/>
      </c>
      <c r="F66" s="5">
        <f>COUNTIFS(Condições!$C$2:$C$74,$B66,Condições!$E$2:$E$74,"Gerenciado")</f>
        <v/>
      </c>
      <c r="G66" s="5">
        <f>COUNTIFS(Condições!$C$2:$C$74,$B66,Condições!$E$2:$E$74,"Melhoria Contínua")</f>
        <v/>
      </c>
      <c r="H66" s="5">
        <f>COUNTIFS(Avaliação!$A$2:$A$877,$A66,Avaliação!$C$2:$C$877,$B66,Avaliação!$E$2:$E$877,"Inicial",Avaliação!$M$2:$M$877,1)</f>
        <v/>
      </c>
      <c r="I66" s="5">
        <f>COUNTIFS(Avaliação!$A$2:$A$877,$A66,Avaliação!$C$2:$C$877,$B66,Avaliação!$E$2:$E$877,"Gerenciado",Avaliação!$M$2:$M$877,1)</f>
        <v/>
      </c>
      <c r="J66" s="5">
        <f>COUNTIFS(Avaliação!$A$2:$A$877,$A66,Avaliação!$C$2:$C$877,$B66,Avaliação!$E$2:$E$877,"Melhoria Contínua",Avaliação!$M$2:$M$877,1)</f>
        <v/>
      </c>
      <c r="K66" s="5">
        <f>COUNTIFS(Avaliação!$A$2:$A$877,$A66,Avaliação!$C$2:$C$877,$B66,Avaliação!$E$2:$E$877,"Inicial",Avaliação!$N$2:$N$877,1)</f>
        <v/>
      </c>
      <c r="L66" s="5">
        <f>COUNTIFS(Avaliação!$A$2:$A$877,$A66,Avaliação!$C$2:$C$877,$B66,Avaliação!$E$2:$E$877,"Gerenciado",Avaliação!$N$2:$N$877,1)</f>
        <v/>
      </c>
      <c r="M66" s="5">
        <f>COUNTIFS(Avaliação!$A$2:$A$877,$A66,Avaliação!$C$2:$C$877,$B66,Avaliação!$E$2:$E$877,"Melhoria Contínua",Avaliação!$N$2:$N$877,1)</f>
        <v/>
      </c>
      <c r="N66" s="10">
        <f>IF(H66&lt;E66,v_ini*H66/E66,IF(I66&lt;F66,v_ini+(v_ger-v_ini)*I66/F66,IF(J66&lt;G66,v_ger+(v_mc-v_ger)*J66/G66,v_mc)))</f>
        <v/>
      </c>
      <c r="O66" s="10">
        <f>IF(K66&lt;E66,v_ini*K66/E66,IF(L66&lt;F66,v_ini+(v_ger-v_ini)*L66/F66,IF(M66&lt;G66,v_ger+(v_mc-v_ger)*M66/G66,v_mc)))</f>
        <v/>
      </c>
    </row>
    <row r="67">
      <c r="A67" s="5" t="inlineStr">
        <is>
          <t>ANP</t>
        </is>
      </c>
      <c r="B67" s="5" t="inlineStr">
        <is>
          <t>AGE</t>
        </is>
      </c>
      <c r="C67" s="5" t="n">
        <v>4</v>
      </c>
      <c r="D67" s="5" t="n">
        <v>1</v>
      </c>
      <c r="E67" s="5">
        <f>COUNTIFS(Condições!$C$2:$C$74,$B67,Condições!$E$2:$E$74,"Inicial")</f>
        <v/>
      </c>
      <c r="F67" s="5">
        <f>COUNTIFS(Condições!$C$2:$C$74,$B67,Condições!$E$2:$E$74,"Gerenciado")</f>
        <v/>
      </c>
      <c r="G67" s="5">
        <f>COUNTIFS(Condições!$C$2:$C$74,$B67,Condições!$E$2:$E$74,"Melhoria Contínua")</f>
        <v/>
      </c>
      <c r="H67" s="5">
        <f>COUNTIFS(Avaliação!$A$2:$A$877,$A67,Avaliação!$C$2:$C$877,$B67,Avaliação!$E$2:$E$877,"Inicial",Avaliação!$M$2:$M$877,1)</f>
        <v/>
      </c>
      <c r="I67" s="5">
        <f>COUNTIFS(Avaliação!$A$2:$A$877,$A67,Avaliação!$C$2:$C$877,$B67,Avaliação!$E$2:$E$877,"Gerenciado",Avaliação!$M$2:$M$877,1)</f>
        <v/>
      </c>
      <c r="J67" s="5">
        <f>COUNTIFS(Avaliação!$A$2:$A$877,$A67,Avaliação!$C$2:$C$877,$B67,Avaliação!$E$2:$E$877,"Melhoria Contínua",Avaliação!$M$2:$M$877,1)</f>
        <v/>
      </c>
      <c r="K67" s="5">
        <f>COUNTIFS(Avaliação!$A$2:$A$877,$A67,Avaliação!$C$2:$C$877,$B67,Avaliação!$E$2:$E$877,"Inicial",Avaliação!$N$2:$N$877,1)</f>
        <v/>
      </c>
      <c r="L67" s="5">
        <f>COUNTIFS(Avaliação!$A$2:$A$877,$A67,Avaliação!$C$2:$C$877,$B67,Avaliação!$E$2:$E$877,"Gerenciado",Avaliação!$N$2:$N$877,1)</f>
        <v/>
      </c>
      <c r="M67" s="5">
        <f>COUNTIFS(Avaliação!$A$2:$A$877,$A67,Avaliação!$C$2:$C$877,$B67,Avaliação!$E$2:$E$877,"Melhoria Contínua",Avaliação!$N$2:$N$877,1)</f>
        <v/>
      </c>
      <c r="N67" s="10">
        <f>IF(H67&lt;E67,v_ini*H67/E67,IF(I67&lt;F67,v_ini+(v_ger-v_ini)*I67/F67,IF(J67&lt;G67,v_ger+(v_mc-v_ger)*J67/G67,v_mc)))</f>
        <v/>
      </c>
      <c r="O67" s="10">
        <f>IF(K67&lt;E67,v_ini*K67/E67,IF(L67&lt;F67,v_ini+(v_ger-v_ini)*L67/F67,IF(M67&lt;G67,v_ger+(v_mc-v_ger)*M67/G67,v_mc)))</f>
        <v/>
      </c>
    </row>
    <row r="68">
      <c r="A68" s="5" t="inlineStr">
        <is>
          <t>ANP</t>
        </is>
      </c>
      <c r="B68" s="5" t="inlineStr">
        <is>
          <t>PRO</t>
        </is>
      </c>
      <c r="C68" s="5" t="n">
        <v>5</v>
      </c>
      <c r="D68" s="5" t="n">
        <v>1</v>
      </c>
      <c r="E68" s="5">
        <f>COUNTIFS(Condições!$C$2:$C$74,$B68,Condições!$E$2:$E$74,"Inicial")</f>
        <v/>
      </c>
      <c r="F68" s="5">
        <f>COUNTIFS(Condições!$C$2:$C$74,$B68,Condições!$E$2:$E$74,"Gerenciado")</f>
        <v/>
      </c>
      <c r="G68" s="5">
        <f>COUNTIFS(Condições!$C$2:$C$74,$B68,Condições!$E$2:$E$74,"Melhoria Contínua")</f>
        <v/>
      </c>
      <c r="H68" s="5">
        <f>COUNTIFS(Avaliação!$A$2:$A$877,$A68,Avaliação!$C$2:$C$877,$B68,Avaliação!$E$2:$E$877,"Inicial",Avaliação!$M$2:$M$877,1)</f>
        <v/>
      </c>
      <c r="I68" s="5">
        <f>COUNTIFS(Avaliação!$A$2:$A$877,$A68,Avaliação!$C$2:$C$877,$B68,Avaliação!$E$2:$E$877,"Gerenciado",Avaliação!$M$2:$M$877,1)</f>
        <v/>
      </c>
      <c r="J68" s="5">
        <f>COUNTIFS(Avaliação!$A$2:$A$877,$A68,Avaliação!$C$2:$C$877,$B68,Avaliação!$E$2:$E$877,"Melhoria Contínua",Avaliação!$M$2:$M$877,1)</f>
        <v/>
      </c>
      <c r="K68" s="5">
        <f>COUNTIFS(Avaliação!$A$2:$A$877,$A68,Avaliação!$C$2:$C$877,$B68,Avaliação!$E$2:$E$877,"Inicial",Avaliação!$N$2:$N$877,1)</f>
        <v/>
      </c>
      <c r="L68" s="5">
        <f>COUNTIFS(Avaliação!$A$2:$A$877,$A68,Avaliação!$C$2:$C$877,$B68,Avaliação!$E$2:$E$877,"Gerenciado",Avaliação!$N$2:$N$877,1)</f>
        <v/>
      </c>
      <c r="M68" s="5">
        <f>COUNTIFS(Avaliação!$A$2:$A$877,$A68,Avaliação!$C$2:$C$877,$B68,Avaliação!$E$2:$E$877,"Melhoria Contínua",Avaliação!$N$2:$N$877,1)</f>
        <v/>
      </c>
      <c r="N68" s="10">
        <f>IF(H68&lt;E68,v_ini*H68/E68,IF(I68&lt;F68,v_ini+(v_ger-v_ini)*I68/F68,IF(J68&lt;G68,v_ger+(v_mc-v_ger)*J68/G68,v_mc)))</f>
        <v/>
      </c>
      <c r="O68" s="10">
        <f>IF(K68&lt;E68,v_ini*K68/E68,IF(L68&lt;F68,v_ini+(v_ger-v_ini)*L68/F68,IF(M68&lt;G68,v_ger+(v_mc-v_ger)*M68/G68,v_mc)))</f>
        <v/>
      </c>
    </row>
    <row r="69">
      <c r="A69" s="5" t="inlineStr">
        <is>
          <t>ANP</t>
        </is>
      </c>
      <c r="B69" s="5" t="inlineStr">
        <is>
          <t>ARR_CAP</t>
        </is>
      </c>
      <c r="C69" s="5" t="n">
        <v>6</v>
      </c>
      <c r="D69" s="5" t="n">
        <v>0.3</v>
      </c>
      <c r="E69" s="5">
        <f>COUNTIFS(Condições!$C$2:$C$74,$B69,Condições!$E$2:$E$74,"Inicial")</f>
        <v/>
      </c>
      <c r="F69" s="5">
        <f>COUNTIFS(Condições!$C$2:$C$74,$B69,Condições!$E$2:$E$74,"Gerenciado")</f>
        <v/>
      </c>
      <c r="G69" s="5">
        <f>COUNTIFS(Condições!$C$2:$C$74,$B69,Condições!$E$2:$E$74,"Melhoria Contínua")</f>
        <v/>
      </c>
      <c r="H69" s="5">
        <f>COUNTIFS(Avaliação!$A$2:$A$877,$A69,Avaliação!$C$2:$C$877,$B69,Avaliação!$E$2:$E$877,"Inicial",Avaliação!$M$2:$M$877,1)</f>
        <v/>
      </c>
      <c r="I69" s="5">
        <f>COUNTIFS(Avaliação!$A$2:$A$877,$A69,Avaliação!$C$2:$C$877,$B69,Avaliação!$E$2:$E$877,"Gerenciado",Avaliação!$M$2:$M$877,1)</f>
        <v/>
      </c>
      <c r="J69" s="5">
        <f>COUNTIFS(Avaliação!$A$2:$A$877,$A69,Avaliação!$C$2:$C$877,$B69,Avaliação!$E$2:$E$877,"Melhoria Contínua",Avaliação!$M$2:$M$877,1)</f>
        <v/>
      </c>
      <c r="K69" s="5">
        <f>COUNTIFS(Avaliação!$A$2:$A$877,$A69,Avaliação!$C$2:$C$877,$B69,Avaliação!$E$2:$E$877,"Inicial",Avaliação!$N$2:$N$877,1)</f>
        <v/>
      </c>
      <c r="L69" s="5">
        <f>COUNTIFS(Avaliação!$A$2:$A$877,$A69,Avaliação!$C$2:$C$877,$B69,Avaliação!$E$2:$E$877,"Gerenciado",Avaliação!$N$2:$N$877,1)</f>
        <v/>
      </c>
      <c r="M69" s="5">
        <f>COUNTIFS(Avaliação!$A$2:$A$877,$A69,Avaliação!$C$2:$C$877,$B69,Avaliação!$E$2:$E$877,"Melhoria Contínua",Avaliação!$N$2:$N$877,1)</f>
        <v/>
      </c>
      <c r="N69" s="10">
        <f>IF(H69&lt;E69,v_ini*H69/E69,IF(I69&lt;F69,v_ini+(v_ger-v_ini)*I69/F69,IF(J69&lt;G69,v_ger+(v_mc-v_ger)*J69/G69,v_mc)))</f>
        <v/>
      </c>
      <c r="O69" s="10">
        <f>IF(K69&lt;E69,v_ini*K69/E69,IF(L69&lt;F69,v_ini+(v_ger-v_ini)*L69/F69,IF(M69&lt;G69,v_ger+(v_mc-v_ger)*M69/G69,v_mc)))</f>
        <v/>
      </c>
    </row>
    <row r="70">
      <c r="A70" s="5" t="inlineStr">
        <is>
          <t>ANP</t>
        </is>
      </c>
      <c r="B70" s="5" t="inlineStr">
        <is>
          <t>ARR_MET</t>
        </is>
      </c>
      <c r="C70" s="5" t="n">
        <v>6</v>
      </c>
      <c r="D70" s="5" t="n">
        <v>0.35</v>
      </c>
      <c r="E70" s="5">
        <f>COUNTIFS(Condições!$C$2:$C$74,$B70,Condições!$E$2:$E$74,"Inicial")</f>
        <v/>
      </c>
      <c r="F70" s="5">
        <f>COUNTIFS(Condições!$C$2:$C$74,$B70,Condições!$E$2:$E$74,"Gerenciado")</f>
        <v/>
      </c>
      <c r="G70" s="5">
        <f>COUNTIFS(Condições!$C$2:$C$74,$B70,Condições!$E$2:$E$74,"Melhoria Contínua")</f>
        <v/>
      </c>
      <c r="H70" s="5">
        <f>COUNTIFS(Avaliação!$A$2:$A$877,$A70,Avaliação!$C$2:$C$877,$B70,Avaliação!$E$2:$E$877,"Inicial",Avaliação!$M$2:$M$877,1)</f>
        <v/>
      </c>
      <c r="I70" s="5">
        <f>COUNTIFS(Avaliação!$A$2:$A$877,$A70,Avaliação!$C$2:$C$877,$B70,Avaliação!$E$2:$E$877,"Gerenciado",Avaliação!$M$2:$M$877,1)</f>
        <v/>
      </c>
      <c r="J70" s="5">
        <f>COUNTIFS(Avaliação!$A$2:$A$877,$A70,Avaliação!$C$2:$C$877,$B70,Avaliação!$E$2:$E$877,"Melhoria Contínua",Avaliação!$M$2:$M$877,1)</f>
        <v/>
      </c>
      <c r="K70" s="5">
        <f>COUNTIFS(Avaliação!$A$2:$A$877,$A70,Avaliação!$C$2:$C$877,$B70,Avaliação!$E$2:$E$877,"Inicial",Avaliação!$N$2:$N$877,1)</f>
        <v/>
      </c>
      <c r="L70" s="5">
        <f>COUNTIFS(Avaliação!$A$2:$A$877,$A70,Avaliação!$C$2:$C$877,$B70,Avaliação!$E$2:$E$877,"Gerenciado",Avaliação!$N$2:$N$877,1)</f>
        <v/>
      </c>
      <c r="M70" s="5">
        <f>COUNTIFS(Avaliação!$A$2:$A$877,$A70,Avaliação!$C$2:$C$877,$B70,Avaliação!$E$2:$E$877,"Melhoria Contínua",Avaliação!$N$2:$N$877,1)</f>
        <v/>
      </c>
      <c r="N70" s="10">
        <f>IF(H70&lt;E70,v_ini*H70/E70,IF(I70&lt;F70,v_ini+(v_ger-v_ini)*I70/F70,IF(J70&lt;G70,v_ger+(v_mc-v_ger)*J70/G70,v_mc)))</f>
        <v/>
      </c>
      <c r="O70" s="10">
        <f>IF(K70&lt;E70,v_ini*K70/E70,IF(L70&lt;F70,v_ini+(v_ger-v_ini)*L70/F70,IF(M70&lt;G70,v_ger+(v_mc-v_ger)*M70/G70,v_mc)))</f>
        <v/>
      </c>
    </row>
    <row r="71">
      <c r="A71" s="5" t="inlineStr">
        <is>
          <t>ANP</t>
        </is>
      </c>
      <c r="B71" s="5" t="inlineStr">
        <is>
          <t>ARR_PRO</t>
        </is>
      </c>
      <c r="C71" s="5" t="n">
        <v>6</v>
      </c>
      <c r="D71" s="5" t="n">
        <v>0.35</v>
      </c>
      <c r="E71" s="5">
        <f>COUNTIFS(Condições!$C$2:$C$74,$B71,Condições!$E$2:$E$74,"Inicial")</f>
        <v/>
      </c>
      <c r="F71" s="5">
        <f>COUNTIFS(Condições!$C$2:$C$74,$B71,Condições!$E$2:$E$74,"Gerenciado")</f>
        <v/>
      </c>
      <c r="G71" s="5">
        <f>COUNTIFS(Condições!$C$2:$C$74,$B71,Condições!$E$2:$E$74,"Melhoria Contínua")</f>
        <v/>
      </c>
      <c r="H71" s="5">
        <f>COUNTIFS(Avaliação!$A$2:$A$877,$A71,Avaliação!$C$2:$C$877,$B71,Avaliação!$E$2:$E$877,"Inicial",Avaliação!$M$2:$M$877,1)</f>
        <v/>
      </c>
      <c r="I71" s="5">
        <f>COUNTIFS(Avaliação!$A$2:$A$877,$A71,Avaliação!$C$2:$C$877,$B71,Avaliação!$E$2:$E$877,"Gerenciado",Avaliação!$M$2:$M$877,1)</f>
        <v/>
      </c>
      <c r="J71" s="5">
        <f>COUNTIFS(Avaliação!$A$2:$A$877,$A71,Avaliação!$C$2:$C$877,$B71,Avaliação!$E$2:$E$877,"Melhoria Contínua",Avaliação!$M$2:$M$877,1)</f>
        <v/>
      </c>
      <c r="K71" s="5">
        <f>COUNTIFS(Avaliação!$A$2:$A$877,$A71,Avaliação!$C$2:$C$877,$B71,Avaliação!$E$2:$E$877,"Inicial",Avaliação!$N$2:$N$877,1)</f>
        <v/>
      </c>
      <c r="L71" s="5">
        <f>COUNTIFS(Avaliação!$A$2:$A$877,$A71,Avaliação!$C$2:$C$877,$B71,Avaliação!$E$2:$E$877,"Gerenciado",Avaliação!$N$2:$N$877,1)</f>
        <v/>
      </c>
      <c r="M71" s="5">
        <f>COUNTIFS(Avaliação!$A$2:$A$877,$A71,Avaliação!$C$2:$C$877,$B71,Avaliação!$E$2:$E$877,"Melhoria Contínua",Avaliação!$N$2:$N$877,1)</f>
        <v/>
      </c>
      <c r="N71" s="10">
        <f>IF(H71&lt;E71,v_ini*H71/E71,IF(I71&lt;F71,v_ini+(v_ger-v_ini)*I71/F71,IF(J71&lt;G71,v_ger+(v_mc-v_ger)*J71/G71,v_mc)))</f>
        <v/>
      </c>
      <c r="O71" s="10">
        <f>IF(K71&lt;E71,v_ini*K71/E71,IF(L71&lt;F71,v_ini+(v_ger-v_ini)*L71/F71,IF(M71&lt;G71,v_ger+(v_mc-v_ger)*M71/G71,v_mc)))</f>
        <v/>
      </c>
    </row>
    <row r="72">
      <c r="A72" s="5" t="inlineStr">
        <is>
          <t>ANA</t>
        </is>
      </c>
      <c r="B72" s="5" t="inlineStr">
        <is>
          <t>AIR_CAP</t>
        </is>
      </c>
      <c r="C72" s="5" t="n">
        <v>1</v>
      </c>
      <c r="D72" s="5" t="n">
        <v>0.3</v>
      </c>
      <c r="E72" s="5">
        <f>COUNTIFS(Condições!$C$2:$C$74,$B72,Condições!$E$2:$E$74,"Inicial")</f>
        <v/>
      </c>
      <c r="F72" s="5">
        <f>COUNTIFS(Condições!$C$2:$C$74,$B72,Condições!$E$2:$E$74,"Gerenciado")</f>
        <v/>
      </c>
      <c r="G72" s="5">
        <f>COUNTIFS(Condições!$C$2:$C$74,$B72,Condições!$E$2:$E$74,"Melhoria Contínua")</f>
        <v/>
      </c>
      <c r="H72" s="5">
        <f>COUNTIFS(Avaliação!$A$2:$A$877,$A72,Avaliação!$C$2:$C$877,$B72,Avaliação!$E$2:$E$877,"Inicial",Avaliação!$M$2:$M$877,1)</f>
        <v/>
      </c>
      <c r="I72" s="5">
        <f>COUNTIFS(Avaliação!$A$2:$A$877,$A72,Avaliação!$C$2:$C$877,$B72,Avaliação!$E$2:$E$877,"Gerenciado",Avaliação!$M$2:$M$877,1)</f>
        <v/>
      </c>
      <c r="J72" s="5">
        <f>COUNTIFS(Avaliação!$A$2:$A$877,$A72,Avaliação!$C$2:$C$877,$B72,Avaliação!$E$2:$E$877,"Melhoria Contínua",Avaliação!$M$2:$M$877,1)</f>
        <v/>
      </c>
      <c r="K72" s="5">
        <f>COUNTIFS(Avaliação!$A$2:$A$877,$A72,Avaliação!$C$2:$C$877,$B72,Avaliação!$E$2:$E$877,"Inicial",Avaliação!$N$2:$N$877,1)</f>
        <v/>
      </c>
      <c r="L72" s="5">
        <f>COUNTIFS(Avaliação!$A$2:$A$877,$A72,Avaliação!$C$2:$C$877,$B72,Avaliação!$E$2:$E$877,"Gerenciado",Avaliação!$N$2:$N$877,1)</f>
        <v/>
      </c>
      <c r="M72" s="5">
        <f>COUNTIFS(Avaliação!$A$2:$A$877,$A72,Avaliação!$C$2:$C$877,$B72,Avaliação!$E$2:$E$877,"Melhoria Contínua",Avaliação!$N$2:$N$877,1)</f>
        <v/>
      </c>
      <c r="N72" s="10">
        <f>IF(H72&lt;E72,v_ini*H72/E72,IF(I72&lt;F72,v_ini+(v_ger-v_ini)*I72/F72,IF(J72&lt;G72,v_ger+(v_mc-v_ger)*J72/G72,v_mc)))</f>
        <v/>
      </c>
      <c r="O72" s="10">
        <f>IF(K72&lt;E72,v_ini*K72/E72,IF(L72&lt;F72,v_ini+(v_ger-v_ini)*L72/F72,IF(M72&lt;G72,v_ger+(v_mc-v_ger)*M72/G72,v_mc)))</f>
        <v/>
      </c>
    </row>
    <row r="73">
      <c r="A73" s="5" t="inlineStr">
        <is>
          <t>ANA</t>
        </is>
      </c>
      <c r="B73" s="5" t="inlineStr">
        <is>
          <t>AIR_MET</t>
        </is>
      </c>
      <c r="C73" s="5" t="n">
        <v>1</v>
      </c>
      <c r="D73" s="5" t="n">
        <v>0.35</v>
      </c>
      <c r="E73" s="5">
        <f>COUNTIFS(Condições!$C$2:$C$74,$B73,Condições!$E$2:$E$74,"Inicial")</f>
        <v/>
      </c>
      <c r="F73" s="5">
        <f>COUNTIFS(Condições!$C$2:$C$74,$B73,Condições!$E$2:$E$74,"Gerenciado")</f>
        <v/>
      </c>
      <c r="G73" s="5">
        <f>COUNTIFS(Condições!$C$2:$C$74,$B73,Condições!$E$2:$E$74,"Melhoria Contínua")</f>
        <v/>
      </c>
      <c r="H73" s="5">
        <f>COUNTIFS(Avaliação!$A$2:$A$877,$A73,Avaliação!$C$2:$C$877,$B73,Avaliação!$E$2:$E$877,"Inicial",Avaliação!$M$2:$M$877,1)</f>
        <v/>
      </c>
      <c r="I73" s="5">
        <f>COUNTIFS(Avaliação!$A$2:$A$877,$A73,Avaliação!$C$2:$C$877,$B73,Avaliação!$E$2:$E$877,"Gerenciado",Avaliação!$M$2:$M$877,1)</f>
        <v/>
      </c>
      <c r="J73" s="5">
        <f>COUNTIFS(Avaliação!$A$2:$A$877,$A73,Avaliação!$C$2:$C$877,$B73,Avaliação!$E$2:$E$877,"Melhoria Contínua",Avaliação!$M$2:$M$877,1)</f>
        <v/>
      </c>
      <c r="K73" s="5">
        <f>COUNTIFS(Avaliação!$A$2:$A$877,$A73,Avaliação!$C$2:$C$877,$B73,Avaliação!$E$2:$E$877,"Inicial",Avaliação!$N$2:$N$877,1)</f>
        <v/>
      </c>
      <c r="L73" s="5">
        <f>COUNTIFS(Avaliação!$A$2:$A$877,$A73,Avaliação!$C$2:$C$877,$B73,Avaliação!$E$2:$E$877,"Gerenciado",Avaliação!$N$2:$N$877,1)</f>
        <v/>
      </c>
      <c r="M73" s="5">
        <f>COUNTIFS(Avaliação!$A$2:$A$877,$A73,Avaliação!$C$2:$C$877,$B73,Avaliação!$E$2:$E$877,"Melhoria Contínua",Avaliação!$N$2:$N$877,1)</f>
        <v/>
      </c>
      <c r="N73" s="10">
        <f>IF(H73&lt;E73,v_ini*H73/E73,IF(I73&lt;F73,v_ini+(v_ger-v_ini)*I73/F73,IF(J73&lt;G73,v_ger+(v_mc-v_ger)*J73/G73,v_mc)))</f>
        <v/>
      </c>
      <c r="O73" s="10">
        <f>IF(K73&lt;E73,v_ini*K73/E73,IF(L73&lt;F73,v_ini+(v_ger-v_ini)*L73/F73,IF(M73&lt;G73,v_ger+(v_mc-v_ger)*M73/G73,v_mc)))</f>
        <v/>
      </c>
    </row>
    <row r="74">
      <c r="A74" s="5" t="inlineStr">
        <is>
          <t>ANA</t>
        </is>
      </c>
      <c r="B74" s="5" t="inlineStr">
        <is>
          <t>AIR_PRO</t>
        </is>
      </c>
      <c r="C74" s="5" t="n">
        <v>1</v>
      </c>
      <c r="D74" s="5" t="n">
        <v>0.35</v>
      </c>
      <c r="E74" s="5">
        <f>COUNTIFS(Condições!$C$2:$C$74,$B74,Condições!$E$2:$E$74,"Inicial")</f>
        <v/>
      </c>
      <c r="F74" s="5">
        <f>COUNTIFS(Condições!$C$2:$C$74,$B74,Condições!$E$2:$E$74,"Gerenciado")</f>
        <v/>
      </c>
      <c r="G74" s="5">
        <f>COUNTIFS(Condições!$C$2:$C$74,$B74,Condições!$E$2:$E$74,"Melhoria Contínua")</f>
        <v/>
      </c>
      <c r="H74" s="5">
        <f>COUNTIFS(Avaliação!$A$2:$A$877,$A74,Avaliação!$C$2:$C$877,$B74,Avaliação!$E$2:$E$877,"Inicial",Avaliação!$M$2:$M$877,1)</f>
        <v/>
      </c>
      <c r="I74" s="5">
        <f>COUNTIFS(Avaliação!$A$2:$A$877,$A74,Avaliação!$C$2:$C$877,$B74,Avaliação!$E$2:$E$877,"Gerenciado",Avaliação!$M$2:$M$877,1)</f>
        <v/>
      </c>
      <c r="J74" s="5">
        <f>COUNTIFS(Avaliação!$A$2:$A$877,$A74,Avaliação!$C$2:$C$877,$B74,Avaliação!$E$2:$E$877,"Melhoria Contínua",Avaliação!$M$2:$M$877,1)</f>
        <v/>
      </c>
      <c r="K74" s="5">
        <f>COUNTIFS(Avaliação!$A$2:$A$877,$A74,Avaliação!$C$2:$C$877,$B74,Avaliação!$E$2:$E$877,"Inicial",Avaliação!$N$2:$N$877,1)</f>
        <v/>
      </c>
      <c r="L74" s="5">
        <f>COUNTIFS(Avaliação!$A$2:$A$877,$A74,Avaliação!$C$2:$C$877,$B74,Avaliação!$E$2:$E$877,"Gerenciado",Avaliação!$N$2:$N$877,1)</f>
        <v/>
      </c>
      <c r="M74" s="5">
        <f>COUNTIFS(Avaliação!$A$2:$A$877,$A74,Avaliação!$C$2:$C$877,$B74,Avaliação!$E$2:$E$877,"Melhoria Contínua",Avaliação!$N$2:$N$877,1)</f>
        <v/>
      </c>
      <c r="N74" s="10">
        <f>IF(H74&lt;E74,v_ini*H74/E74,IF(I74&lt;F74,v_ini+(v_ger-v_ini)*I74/F74,IF(J74&lt;G74,v_ger+(v_mc-v_ger)*J74/G74,v_mc)))</f>
        <v/>
      </c>
      <c r="O74" s="10">
        <f>IF(K74&lt;E74,v_ini*K74/E74,IF(L74&lt;F74,v_ini+(v_ger-v_ini)*L74/F74,IF(M74&lt;G74,v_ger+(v_mc-v_ger)*M74/G74,v_mc)))</f>
        <v/>
      </c>
    </row>
    <row r="75">
      <c r="A75" s="5" t="inlineStr">
        <is>
          <t>ANA</t>
        </is>
      </c>
      <c r="B75" s="5" t="inlineStr">
        <is>
          <t>PS</t>
        </is>
      </c>
      <c r="C75" s="5" t="n">
        <v>2</v>
      </c>
      <c r="D75" s="5" t="n">
        <v>1</v>
      </c>
      <c r="E75" s="5">
        <f>COUNTIFS(Condições!$C$2:$C$74,$B75,Condições!$E$2:$E$74,"Inicial")</f>
        <v/>
      </c>
      <c r="F75" s="5">
        <f>COUNTIFS(Condições!$C$2:$C$74,$B75,Condições!$E$2:$E$74,"Gerenciado")</f>
        <v/>
      </c>
      <c r="G75" s="5">
        <f>COUNTIFS(Condições!$C$2:$C$74,$B75,Condições!$E$2:$E$74,"Melhoria Contínua")</f>
        <v/>
      </c>
      <c r="H75" s="5">
        <f>COUNTIFS(Avaliação!$A$2:$A$877,$A75,Avaliação!$C$2:$C$877,$B75,Avaliação!$E$2:$E$877,"Inicial",Avaliação!$M$2:$M$877,1)</f>
        <v/>
      </c>
      <c r="I75" s="5">
        <f>COUNTIFS(Avaliação!$A$2:$A$877,$A75,Avaliação!$C$2:$C$877,$B75,Avaliação!$E$2:$E$877,"Gerenciado",Avaliação!$M$2:$M$877,1)</f>
        <v/>
      </c>
      <c r="J75" s="5">
        <f>COUNTIFS(Avaliação!$A$2:$A$877,$A75,Avaliação!$C$2:$C$877,$B75,Avaliação!$E$2:$E$877,"Melhoria Contínua",Avaliação!$M$2:$M$877,1)</f>
        <v/>
      </c>
      <c r="K75" s="5">
        <f>COUNTIFS(Avaliação!$A$2:$A$877,$A75,Avaliação!$C$2:$C$877,$B75,Avaliação!$E$2:$E$877,"Inicial",Avaliação!$N$2:$N$877,1)</f>
        <v/>
      </c>
      <c r="L75" s="5">
        <f>COUNTIFS(Avaliação!$A$2:$A$877,$A75,Avaliação!$C$2:$C$877,$B75,Avaliação!$E$2:$E$877,"Gerenciado",Avaliação!$N$2:$N$877,1)</f>
        <v/>
      </c>
      <c r="M75" s="5">
        <f>COUNTIFS(Avaliação!$A$2:$A$877,$A75,Avaliação!$C$2:$C$877,$B75,Avaliação!$E$2:$E$877,"Melhoria Contínua",Avaliação!$N$2:$N$877,1)</f>
        <v/>
      </c>
      <c r="N75" s="10">
        <f>IF(H75&lt;E75,v_ini*H75/E75,IF(I75&lt;F75,v_ini+(v_ger-v_ini)*I75/F75,IF(J75&lt;G75,v_ger+(v_mc-v_ger)*J75/G75,v_mc)))</f>
        <v/>
      </c>
      <c r="O75" s="10">
        <f>IF(K75&lt;E75,v_ini*K75/E75,IF(L75&lt;F75,v_ini+(v_ger-v_ini)*L75/F75,IF(M75&lt;G75,v_ger+(v_mc-v_ger)*M75/G75,v_mc)))</f>
        <v/>
      </c>
    </row>
    <row r="76">
      <c r="A76" s="5" t="inlineStr">
        <is>
          <t>ANA</t>
        </is>
      </c>
      <c r="B76" s="5" t="inlineStr">
        <is>
          <t>EST</t>
        </is>
      </c>
      <c r="C76" s="5" t="n">
        <v>3</v>
      </c>
      <c r="D76" s="5" t="n">
        <v>1</v>
      </c>
      <c r="E76" s="5">
        <f>COUNTIFS(Condições!$C$2:$C$74,$B76,Condições!$E$2:$E$74,"Inicial")</f>
        <v/>
      </c>
      <c r="F76" s="5">
        <f>COUNTIFS(Condições!$C$2:$C$74,$B76,Condições!$E$2:$E$74,"Gerenciado")</f>
        <v/>
      </c>
      <c r="G76" s="5">
        <f>COUNTIFS(Condições!$C$2:$C$74,$B76,Condições!$E$2:$E$74,"Melhoria Contínua")</f>
        <v/>
      </c>
      <c r="H76" s="5">
        <f>COUNTIFS(Avaliação!$A$2:$A$877,$A76,Avaliação!$C$2:$C$877,$B76,Avaliação!$E$2:$E$877,"Inicial",Avaliação!$M$2:$M$877,1)</f>
        <v/>
      </c>
      <c r="I76" s="5">
        <f>COUNTIFS(Avaliação!$A$2:$A$877,$A76,Avaliação!$C$2:$C$877,$B76,Avaliação!$E$2:$E$877,"Gerenciado",Avaliação!$M$2:$M$877,1)</f>
        <v/>
      </c>
      <c r="J76" s="5">
        <f>COUNTIFS(Avaliação!$A$2:$A$877,$A76,Avaliação!$C$2:$C$877,$B76,Avaliação!$E$2:$E$877,"Melhoria Contínua",Avaliação!$M$2:$M$877,1)</f>
        <v/>
      </c>
      <c r="K76" s="5">
        <f>COUNTIFS(Avaliação!$A$2:$A$877,$A76,Avaliação!$C$2:$C$877,$B76,Avaliação!$E$2:$E$877,"Inicial",Avaliação!$N$2:$N$877,1)</f>
        <v/>
      </c>
      <c r="L76" s="5">
        <f>COUNTIFS(Avaliação!$A$2:$A$877,$A76,Avaliação!$C$2:$C$877,$B76,Avaliação!$E$2:$E$877,"Gerenciado",Avaliação!$N$2:$N$877,1)</f>
        <v/>
      </c>
      <c r="M76" s="5">
        <f>COUNTIFS(Avaliação!$A$2:$A$877,$A76,Avaliação!$C$2:$C$877,$B76,Avaliação!$E$2:$E$877,"Melhoria Contínua",Avaliação!$N$2:$N$877,1)</f>
        <v/>
      </c>
      <c r="N76" s="10">
        <f>IF(H76&lt;E76,v_ini*H76/E76,IF(I76&lt;F76,v_ini+(v_ger-v_ini)*I76/F76,IF(J76&lt;G76,v_ger+(v_mc-v_ger)*J76/G76,v_mc)))</f>
        <v/>
      </c>
      <c r="O76" s="10">
        <f>IF(K76&lt;E76,v_ini*K76/E76,IF(L76&lt;F76,v_ini+(v_ger-v_ini)*L76/F76,IF(M76&lt;G76,v_ger+(v_mc-v_ger)*M76/G76,v_mc)))</f>
        <v/>
      </c>
    </row>
    <row r="77">
      <c r="A77" s="5" t="inlineStr">
        <is>
          <t>ANA</t>
        </is>
      </c>
      <c r="B77" s="5" t="inlineStr">
        <is>
          <t>AGE</t>
        </is>
      </c>
      <c r="C77" s="5" t="n">
        <v>4</v>
      </c>
      <c r="D77" s="5" t="n">
        <v>1</v>
      </c>
      <c r="E77" s="5">
        <f>COUNTIFS(Condições!$C$2:$C$74,$B77,Condições!$E$2:$E$74,"Inicial")</f>
        <v/>
      </c>
      <c r="F77" s="5">
        <f>COUNTIFS(Condições!$C$2:$C$74,$B77,Condições!$E$2:$E$74,"Gerenciado")</f>
        <v/>
      </c>
      <c r="G77" s="5">
        <f>COUNTIFS(Condições!$C$2:$C$74,$B77,Condições!$E$2:$E$74,"Melhoria Contínua")</f>
        <v/>
      </c>
      <c r="H77" s="5">
        <f>COUNTIFS(Avaliação!$A$2:$A$877,$A77,Avaliação!$C$2:$C$877,$B77,Avaliação!$E$2:$E$877,"Inicial",Avaliação!$M$2:$M$877,1)</f>
        <v/>
      </c>
      <c r="I77" s="5">
        <f>COUNTIFS(Avaliação!$A$2:$A$877,$A77,Avaliação!$C$2:$C$877,$B77,Avaliação!$E$2:$E$877,"Gerenciado",Avaliação!$M$2:$M$877,1)</f>
        <v/>
      </c>
      <c r="J77" s="5">
        <f>COUNTIFS(Avaliação!$A$2:$A$877,$A77,Avaliação!$C$2:$C$877,$B77,Avaliação!$E$2:$E$877,"Melhoria Contínua",Avaliação!$M$2:$M$877,1)</f>
        <v/>
      </c>
      <c r="K77" s="5">
        <f>COUNTIFS(Avaliação!$A$2:$A$877,$A77,Avaliação!$C$2:$C$877,$B77,Avaliação!$E$2:$E$877,"Inicial",Avaliação!$N$2:$N$877,1)</f>
        <v/>
      </c>
      <c r="L77" s="5">
        <f>COUNTIFS(Avaliação!$A$2:$A$877,$A77,Avaliação!$C$2:$C$877,$B77,Avaliação!$E$2:$E$877,"Gerenciado",Avaliação!$N$2:$N$877,1)</f>
        <v/>
      </c>
      <c r="M77" s="5">
        <f>COUNTIFS(Avaliação!$A$2:$A$877,$A77,Avaliação!$C$2:$C$877,$B77,Avaliação!$E$2:$E$877,"Melhoria Contínua",Avaliação!$N$2:$N$877,1)</f>
        <v/>
      </c>
      <c r="N77" s="10">
        <f>IF(H77&lt;E77,v_ini*H77/E77,IF(I77&lt;F77,v_ini+(v_ger-v_ini)*I77/F77,IF(J77&lt;G77,v_ger+(v_mc-v_ger)*J77/G77,v_mc)))</f>
        <v/>
      </c>
      <c r="O77" s="10">
        <f>IF(K77&lt;E77,v_ini*K77/E77,IF(L77&lt;F77,v_ini+(v_ger-v_ini)*L77/F77,IF(M77&lt;G77,v_ger+(v_mc-v_ger)*M77/G77,v_mc)))</f>
        <v/>
      </c>
    </row>
    <row r="78">
      <c r="A78" s="5" t="inlineStr">
        <is>
          <t>ANA</t>
        </is>
      </c>
      <c r="B78" s="5" t="inlineStr">
        <is>
          <t>PRO</t>
        </is>
      </c>
      <c r="C78" s="5" t="n">
        <v>5</v>
      </c>
      <c r="D78" s="5" t="n">
        <v>1</v>
      </c>
      <c r="E78" s="5">
        <f>COUNTIFS(Condições!$C$2:$C$74,$B78,Condições!$E$2:$E$74,"Inicial")</f>
        <v/>
      </c>
      <c r="F78" s="5">
        <f>COUNTIFS(Condições!$C$2:$C$74,$B78,Condições!$E$2:$E$74,"Gerenciado")</f>
        <v/>
      </c>
      <c r="G78" s="5">
        <f>COUNTIFS(Condições!$C$2:$C$74,$B78,Condições!$E$2:$E$74,"Melhoria Contínua")</f>
        <v/>
      </c>
      <c r="H78" s="5">
        <f>COUNTIFS(Avaliação!$A$2:$A$877,$A78,Avaliação!$C$2:$C$877,$B78,Avaliação!$E$2:$E$877,"Inicial",Avaliação!$M$2:$M$877,1)</f>
        <v/>
      </c>
      <c r="I78" s="5">
        <f>COUNTIFS(Avaliação!$A$2:$A$877,$A78,Avaliação!$C$2:$C$877,$B78,Avaliação!$E$2:$E$877,"Gerenciado",Avaliação!$M$2:$M$877,1)</f>
        <v/>
      </c>
      <c r="J78" s="5">
        <f>COUNTIFS(Avaliação!$A$2:$A$877,$A78,Avaliação!$C$2:$C$877,$B78,Avaliação!$E$2:$E$877,"Melhoria Contínua",Avaliação!$M$2:$M$877,1)</f>
        <v/>
      </c>
      <c r="K78" s="5">
        <f>COUNTIFS(Avaliação!$A$2:$A$877,$A78,Avaliação!$C$2:$C$877,$B78,Avaliação!$E$2:$E$877,"Inicial",Avaliação!$N$2:$N$877,1)</f>
        <v/>
      </c>
      <c r="L78" s="5">
        <f>COUNTIFS(Avaliação!$A$2:$A$877,$A78,Avaliação!$C$2:$C$877,$B78,Avaliação!$E$2:$E$877,"Gerenciado",Avaliação!$N$2:$N$877,1)</f>
        <v/>
      </c>
      <c r="M78" s="5">
        <f>COUNTIFS(Avaliação!$A$2:$A$877,$A78,Avaliação!$C$2:$C$877,$B78,Avaliação!$E$2:$E$877,"Melhoria Contínua",Avaliação!$N$2:$N$877,1)</f>
        <v/>
      </c>
      <c r="N78" s="10">
        <f>IF(H78&lt;E78,v_ini*H78/E78,IF(I78&lt;F78,v_ini+(v_ger-v_ini)*I78/F78,IF(J78&lt;G78,v_ger+(v_mc-v_ger)*J78/G78,v_mc)))</f>
        <v/>
      </c>
      <c r="O78" s="10">
        <f>IF(K78&lt;E78,v_ini*K78/E78,IF(L78&lt;F78,v_ini+(v_ger-v_ini)*L78/F78,IF(M78&lt;G78,v_ger+(v_mc-v_ger)*M78/G78,v_mc)))</f>
        <v/>
      </c>
    </row>
    <row r="79">
      <c r="A79" s="5" t="inlineStr">
        <is>
          <t>ANA</t>
        </is>
      </c>
      <c r="B79" s="5" t="inlineStr">
        <is>
          <t>ARR_CAP</t>
        </is>
      </c>
      <c r="C79" s="5" t="n">
        <v>6</v>
      </c>
      <c r="D79" s="5" t="n">
        <v>0.3</v>
      </c>
      <c r="E79" s="5">
        <f>COUNTIFS(Condições!$C$2:$C$74,$B79,Condições!$E$2:$E$74,"Inicial")</f>
        <v/>
      </c>
      <c r="F79" s="5">
        <f>COUNTIFS(Condições!$C$2:$C$74,$B79,Condições!$E$2:$E$74,"Gerenciado")</f>
        <v/>
      </c>
      <c r="G79" s="5">
        <f>COUNTIFS(Condições!$C$2:$C$74,$B79,Condições!$E$2:$E$74,"Melhoria Contínua")</f>
        <v/>
      </c>
      <c r="H79" s="5">
        <f>COUNTIFS(Avaliação!$A$2:$A$877,$A79,Avaliação!$C$2:$C$877,$B79,Avaliação!$E$2:$E$877,"Inicial",Avaliação!$M$2:$M$877,1)</f>
        <v/>
      </c>
      <c r="I79" s="5">
        <f>COUNTIFS(Avaliação!$A$2:$A$877,$A79,Avaliação!$C$2:$C$877,$B79,Avaliação!$E$2:$E$877,"Gerenciado",Avaliação!$M$2:$M$877,1)</f>
        <v/>
      </c>
      <c r="J79" s="5">
        <f>COUNTIFS(Avaliação!$A$2:$A$877,$A79,Avaliação!$C$2:$C$877,$B79,Avaliação!$E$2:$E$877,"Melhoria Contínua",Avaliação!$M$2:$M$877,1)</f>
        <v/>
      </c>
      <c r="K79" s="5">
        <f>COUNTIFS(Avaliação!$A$2:$A$877,$A79,Avaliação!$C$2:$C$877,$B79,Avaliação!$E$2:$E$877,"Inicial",Avaliação!$N$2:$N$877,1)</f>
        <v/>
      </c>
      <c r="L79" s="5">
        <f>COUNTIFS(Avaliação!$A$2:$A$877,$A79,Avaliação!$C$2:$C$877,$B79,Avaliação!$E$2:$E$877,"Gerenciado",Avaliação!$N$2:$N$877,1)</f>
        <v/>
      </c>
      <c r="M79" s="5">
        <f>COUNTIFS(Avaliação!$A$2:$A$877,$A79,Avaliação!$C$2:$C$877,$B79,Avaliação!$E$2:$E$877,"Melhoria Contínua",Avaliação!$N$2:$N$877,1)</f>
        <v/>
      </c>
      <c r="N79" s="10">
        <f>IF(H79&lt;E79,v_ini*H79/E79,IF(I79&lt;F79,v_ini+(v_ger-v_ini)*I79/F79,IF(J79&lt;G79,v_ger+(v_mc-v_ger)*J79/G79,v_mc)))</f>
        <v/>
      </c>
      <c r="O79" s="10">
        <f>IF(K79&lt;E79,v_ini*K79/E79,IF(L79&lt;F79,v_ini+(v_ger-v_ini)*L79/F79,IF(M79&lt;G79,v_ger+(v_mc-v_ger)*M79/G79,v_mc)))</f>
        <v/>
      </c>
    </row>
    <row r="80">
      <c r="A80" s="5" t="inlineStr">
        <is>
          <t>ANA</t>
        </is>
      </c>
      <c r="B80" s="5" t="inlineStr">
        <is>
          <t>ARR_MET</t>
        </is>
      </c>
      <c r="C80" s="5" t="n">
        <v>6</v>
      </c>
      <c r="D80" s="5" t="n">
        <v>0.35</v>
      </c>
      <c r="E80" s="5">
        <f>COUNTIFS(Condições!$C$2:$C$74,$B80,Condições!$E$2:$E$74,"Inicial")</f>
        <v/>
      </c>
      <c r="F80" s="5">
        <f>COUNTIFS(Condições!$C$2:$C$74,$B80,Condições!$E$2:$E$74,"Gerenciado")</f>
        <v/>
      </c>
      <c r="G80" s="5">
        <f>COUNTIFS(Condições!$C$2:$C$74,$B80,Condições!$E$2:$E$74,"Melhoria Contínua")</f>
        <v/>
      </c>
      <c r="H80" s="5">
        <f>COUNTIFS(Avaliação!$A$2:$A$877,$A80,Avaliação!$C$2:$C$877,$B80,Avaliação!$E$2:$E$877,"Inicial",Avaliação!$M$2:$M$877,1)</f>
        <v/>
      </c>
      <c r="I80" s="5">
        <f>COUNTIFS(Avaliação!$A$2:$A$877,$A80,Avaliação!$C$2:$C$877,$B80,Avaliação!$E$2:$E$877,"Gerenciado",Avaliação!$M$2:$M$877,1)</f>
        <v/>
      </c>
      <c r="J80" s="5">
        <f>COUNTIFS(Avaliação!$A$2:$A$877,$A80,Avaliação!$C$2:$C$877,$B80,Avaliação!$E$2:$E$877,"Melhoria Contínua",Avaliação!$M$2:$M$877,1)</f>
        <v/>
      </c>
      <c r="K80" s="5">
        <f>COUNTIFS(Avaliação!$A$2:$A$877,$A80,Avaliação!$C$2:$C$877,$B80,Avaliação!$E$2:$E$877,"Inicial",Avaliação!$N$2:$N$877,1)</f>
        <v/>
      </c>
      <c r="L80" s="5">
        <f>COUNTIFS(Avaliação!$A$2:$A$877,$A80,Avaliação!$C$2:$C$877,$B80,Avaliação!$E$2:$E$877,"Gerenciado",Avaliação!$N$2:$N$877,1)</f>
        <v/>
      </c>
      <c r="M80" s="5">
        <f>COUNTIFS(Avaliação!$A$2:$A$877,$A80,Avaliação!$C$2:$C$877,$B80,Avaliação!$E$2:$E$877,"Melhoria Contínua",Avaliação!$N$2:$N$877,1)</f>
        <v/>
      </c>
      <c r="N80" s="10">
        <f>IF(H80&lt;E80,v_ini*H80/E80,IF(I80&lt;F80,v_ini+(v_ger-v_ini)*I80/F80,IF(J80&lt;G80,v_ger+(v_mc-v_ger)*J80/G80,v_mc)))</f>
        <v/>
      </c>
      <c r="O80" s="10">
        <f>IF(K80&lt;E80,v_ini*K80/E80,IF(L80&lt;F80,v_ini+(v_ger-v_ini)*L80/F80,IF(M80&lt;G80,v_ger+(v_mc-v_ger)*M80/G80,v_mc)))</f>
        <v/>
      </c>
    </row>
    <row r="81">
      <c r="A81" s="5" t="inlineStr">
        <is>
          <t>ANA</t>
        </is>
      </c>
      <c r="B81" s="5" t="inlineStr">
        <is>
          <t>ARR_PRO</t>
        </is>
      </c>
      <c r="C81" s="5" t="n">
        <v>6</v>
      </c>
      <c r="D81" s="5" t="n">
        <v>0.35</v>
      </c>
      <c r="E81" s="5">
        <f>COUNTIFS(Condições!$C$2:$C$74,$B81,Condições!$E$2:$E$74,"Inicial")</f>
        <v/>
      </c>
      <c r="F81" s="5">
        <f>COUNTIFS(Condições!$C$2:$C$74,$B81,Condições!$E$2:$E$74,"Gerenciado")</f>
        <v/>
      </c>
      <c r="G81" s="5">
        <f>COUNTIFS(Condições!$C$2:$C$74,$B81,Condições!$E$2:$E$74,"Melhoria Contínua")</f>
        <v/>
      </c>
      <c r="H81" s="5">
        <f>COUNTIFS(Avaliação!$A$2:$A$877,$A81,Avaliação!$C$2:$C$877,$B81,Avaliação!$E$2:$E$877,"Inicial",Avaliação!$M$2:$M$877,1)</f>
        <v/>
      </c>
      <c r="I81" s="5">
        <f>COUNTIFS(Avaliação!$A$2:$A$877,$A81,Avaliação!$C$2:$C$877,$B81,Avaliação!$E$2:$E$877,"Gerenciado",Avaliação!$M$2:$M$877,1)</f>
        <v/>
      </c>
      <c r="J81" s="5">
        <f>COUNTIFS(Avaliação!$A$2:$A$877,$A81,Avaliação!$C$2:$C$877,$B81,Avaliação!$E$2:$E$877,"Melhoria Contínua",Avaliação!$M$2:$M$877,1)</f>
        <v/>
      </c>
      <c r="K81" s="5">
        <f>COUNTIFS(Avaliação!$A$2:$A$877,$A81,Avaliação!$C$2:$C$877,$B81,Avaliação!$E$2:$E$877,"Inicial",Avaliação!$N$2:$N$877,1)</f>
        <v/>
      </c>
      <c r="L81" s="5">
        <f>COUNTIFS(Avaliação!$A$2:$A$877,$A81,Avaliação!$C$2:$C$877,$B81,Avaliação!$E$2:$E$877,"Gerenciado",Avaliação!$N$2:$N$877,1)</f>
        <v/>
      </c>
      <c r="M81" s="5">
        <f>COUNTIFS(Avaliação!$A$2:$A$877,$A81,Avaliação!$C$2:$C$877,$B81,Avaliação!$E$2:$E$877,"Melhoria Contínua",Avaliação!$N$2:$N$877,1)</f>
        <v/>
      </c>
      <c r="N81" s="10">
        <f>IF(H81&lt;E81,v_ini*H81/E81,IF(I81&lt;F81,v_ini+(v_ger-v_ini)*I81/F81,IF(J81&lt;G81,v_ger+(v_mc-v_ger)*J81/G81,v_mc)))</f>
        <v/>
      </c>
      <c r="O81" s="10">
        <f>IF(K81&lt;E81,v_ini*K81/E81,IF(L81&lt;F81,v_ini+(v_ger-v_ini)*L81/F81,IF(M81&lt;G81,v_ger+(v_mc-v_ger)*M81/G81,v_mc)))</f>
        <v/>
      </c>
    </row>
    <row r="82">
      <c r="A82" s="5" t="inlineStr">
        <is>
          <t>ANS</t>
        </is>
      </c>
      <c r="B82" s="5" t="inlineStr">
        <is>
          <t>AIR_CAP</t>
        </is>
      </c>
      <c r="C82" s="5" t="n">
        <v>1</v>
      </c>
      <c r="D82" s="5" t="n">
        <v>0.3</v>
      </c>
      <c r="E82" s="5">
        <f>COUNTIFS(Condições!$C$2:$C$74,$B82,Condições!$E$2:$E$74,"Inicial")</f>
        <v/>
      </c>
      <c r="F82" s="5">
        <f>COUNTIFS(Condições!$C$2:$C$74,$B82,Condições!$E$2:$E$74,"Gerenciado")</f>
        <v/>
      </c>
      <c r="G82" s="5">
        <f>COUNTIFS(Condições!$C$2:$C$74,$B82,Condições!$E$2:$E$74,"Melhoria Contínua")</f>
        <v/>
      </c>
      <c r="H82" s="5">
        <f>COUNTIFS(Avaliação!$A$2:$A$877,$A82,Avaliação!$C$2:$C$877,$B82,Avaliação!$E$2:$E$877,"Inicial",Avaliação!$M$2:$M$877,1)</f>
        <v/>
      </c>
      <c r="I82" s="5">
        <f>COUNTIFS(Avaliação!$A$2:$A$877,$A82,Avaliação!$C$2:$C$877,$B82,Avaliação!$E$2:$E$877,"Gerenciado",Avaliação!$M$2:$M$877,1)</f>
        <v/>
      </c>
      <c r="J82" s="5">
        <f>COUNTIFS(Avaliação!$A$2:$A$877,$A82,Avaliação!$C$2:$C$877,$B82,Avaliação!$E$2:$E$877,"Melhoria Contínua",Avaliação!$M$2:$M$877,1)</f>
        <v/>
      </c>
      <c r="K82" s="5">
        <f>COUNTIFS(Avaliação!$A$2:$A$877,$A82,Avaliação!$C$2:$C$877,$B82,Avaliação!$E$2:$E$877,"Inicial",Avaliação!$N$2:$N$877,1)</f>
        <v/>
      </c>
      <c r="L82" s="5">
        <f>COUNTIFS(Avaliação!$A$2:$A$877,$A82,Avaliação!$C$2:$C$877,$B82,Avaliação!$E$2:$E$877,"Gerenciado",Avaliação!$N$2:$N$877,1)</f>
        <v/>
      </c>
      <c r="M82" s="5">
        <f>COUNTIFS(Avaliação!$A$2:$A$877,$A82,Avaliação!$C$2:$C$877,$B82,Avaliação!$E$2:$E$877,"Melhoria Contínua",Avaliação!$N$2:$N$877,1)</f>
        <v/>
      </c>
      <c r="N82" s="10">
        <f>IF(H82&lt;E82,v_ini*H82/E82,IF(I82&lt;F82,v_ini+(v_ger-v_ini)*I82/F82,IF(J82&lt;G82,v_ger+(v_mc-v_ger)*J82/G82,v_mc)))</f>
        <v/>
      </c>
      <c r="O82" s="10">
        <f>IF(K82&lt;E82,v_ini*K82/E82,IF(L82&lt;F82,v_ini+(v_ger-v_ini)*L82/F82,IF(M82&lt;G82,v_ger+(v_mc-v_ger)*M82/G82,v_mc)))</f>
        <v/>
      </c>
    </row>
    <row r="83">
      <c r="A83" s="5" t="inlineStr">
        <is>
          <t>ANS</t>
        </is>
      </c>
      <c r="B83" s="5" t="inlineStr">
        <is>
          <t>AIR_MET</t>
        </is>
      </c>
      <c r="C83" s="5" t="n">
        <v>1</v>
      </c>
      <c r="D83" s="5" t="n">
        <v>0.35</v>
      </c>
      <c r="E83" s="5">
        <f>COUNTIFS(Condições!$C$2:$C$74,$B83,Condições!$E$2:$E$74,"Inicial")</f>
        <v/>
      </c>
      <c r="F83" s="5">
        <f>COUNTIFS(Condições!$C$2:$C$74,$B83,Condições!$E$2:$E$74,"Gerenciado")</f>
        <v/>
      </c>
      <c r="G83" s="5">
        <f>COUNTIFS(Condições!$C$2:$C$74,$B83,Condições!$E$2:$E$74,"Melhoria Contínua")</f>
        <v/>
      </c>
      <c r="H83" s="5">
        <f>COUNTIFS(Avaliação!$A$2:$A$877,$A83,Avaliação!$C$2:$C$877,$B83,Avaliação!$E$2:$E$877,"Inicial",Avaliação!$M$2:$M$877,1)</f>
        <v/>
      </c>
      <c r="I83" s="5">
        <f>COUNTIFS(Avaliação!$A$2:$A$877,$A83,Avaliação!$C$2:$C$877,$B83,Avaliação!$E$2:$E$877,"Gerenciado",Avaliação!$M$2:$M$877,1)</f>
        <v/>
      </c>
      <c r="J83" s="5">
        <f>COUNTIFS(Avaliação!$A$2:$A$877,$A83,Avaliação!$C$2:$C$877,$B83,Avaliação!$E$2:$E$877,"Melhoria Contínua",Avaliação!$M$2:$M$877,1)</f>
        <v/>
      </c>
      <c r="K83" s="5">
        <f>COUNTIFS(Avaliação!$A$2:$A$877,$A83,Avaliação!$C$2:$C$877,$B83,Avaliação!$E$2:$E$877,"Inicial",Avaliação!$N$2:$N$877,1)</f>
        <v/>
      </c>
      <c r="L83" s="5">
        <f>COUNTIFS(Avaliação!$A$2:$A$877,$A83,Avaliação!$C$2:$C$877,$B83,Avaliação!$E$2:$E$877,"Gerenciado",Avaliação!$N$2:$N$877,1)</f>
        <v/>
      </c>
      <c r="M83" s="5">
        <f>COUNTIFS(Avaliação!$A$2:$A$877,$A83,Avaliação!$C$2:$C$877,$B83,Avaliação!$E$2:$E$877,"Melhoria Contínua",Avaliação!$N$2:$N$877,1)</f>
        <v/>
      </c>
      <c r="N83" s="10">
        <f>IF(H83&lt;E83,v_ini*H83/E83,IF(I83&lt;F83,v_ini+(v_ger-v_ini)*I83/F83,IF(J83&lt;G83,v_ger+(v_mc-v_ger)*J83/G83,v_mc)))</f>
        <v/>
      </c>
      <c r="O83" s="10">
        <f>IF(K83&lt;E83,v_ini*K83/E83,IF(L83&lt;F83,v_ini+(v_ger-v_ini)*L83/F83,IF(M83&lt;G83,v_ger+(v_mc-v_ger)*M83/G83,v_mc)))</f>
        <v/>
      </c>
    </row>
    <row r="84">
      <c r="A84" s="5" t="inlineStr">
        <is>
          <t>ANS</t>
        </is>
      </c>
      <c r="B84" s="5" t="inlineStr">
        <is>
          <t>AIR_PRO</t>
        </is>
      </c>
      <c r="C84" s="5" t="n">
        <v>1</v>
      </c>
      <c r="D84" s="5" t="n">
        <v>0.35</v>
      </c>
      <c r="E84" s="5">
        <f>COUNTIFS(Condições!$C$2:$C$74,$B84,Condições!$E$2:$E$74,"Inicial")</f>
        <v/>
      </c>
      <c r="F84" s="5">
        <f>COUNTIFS(Condições!$C$2:$C$74,$B84,Condições!$E$2:$E$74,"Gerenciado")</f>
        <v/>
      </c>
      <c r="G84" s="5">
        <f>COUNTIFS(Condições!$C$2:$C$74,$B84,Condições!$E$2:$E$74,"Melhoria Contínua")</f>
        <v/>
      </c>
      <c r="H84" s="5">
        <f>COUNTIFS(Avaliação!$A$2:$A$877,$A84,Avaliação!$C$2:$C$877,$B84,Avaliação!$E$2:$E$877,"Inicial",Avaliação!$M$2:$M$877,1)</f>
        <v/>
      </c>
      <c r="I84" s="5">
        <f>COUNTIFS(Avaliação!$A$2:$A$877,$A84,Avaliação!$C$2:$C$877,$B84,Avaliação!$E$2:$E$877,"Gerenciado",Avaliação!$M$2:$M$877,1)</f>
        <v/>
      </c>
      <c r="J84" s="5">
        <f>COUNTIFS(Avaliação!$A$2:$A$877,$A84,Avaliação!$C$2:$C$877,$B84,Avaliação!$E$2:$E$877,"Melhoria Contínua",Avaliação!$M$2:$M$877,1)</f>
        <v/>
      </c>
      <c r="K84" s="5">
        <f>COUNTIFS(Avaliação!$A$2:$A$877,$A84,Avaliação!$C$2:$C$877,$B84,Avaliação!$E$2:$E$877,"Inicial",Avaliação!$N$2:$N$877,1)</f>
        <v/>
      </c>
      <c r="L84" s="5">
        <f>COUNTIFS(Avaliação!$A$2:$A$877,$A84,Avaliação!$C$2:$C$877,$B84,Avaliação!$E$2:$E$877,"Gerenciado",Avaliação!$N$2:$N$877,1)</f>
        <v/>
      </c>
      <c r="M84" s="5">
        <f>COUNTIFS(Avaliação!$A$2:$A$877,$A84,Avaliação!$C$2:$C$877,$B84,Avaliação!$E$2:$E$877,"Melhoria Contínua",Avaliação!$N$2:$N$877,1)</f>
        <v/>
      </c>
      <c r="N84" s="10">
        <f>IF(H84&lt;E84,v_ini*H84/E84,IF(I84&lt;F84,v_ini+(v_ger-v_ini)*I84/F84,IF(J84&lt;G84,v_ger+(v_mc-v_ger)*J84/G84,v_mc)))</f>
        <v/>
      </c>
      <c r="O84" s="10">
        <f>IF(K84&lt;E84,v_ini*K84/E84,IF(L84&lt;F84,v_ini+(v_ger-v_ini)*L84/F84,IF(M84&lt;G84,v_ger+(v_mc-v_ger)*M84/G84,v_mc)))</f>
        <v/>
      </c>
    </row>
    <row r="85">
      <c r="A85" s="5" t="inlineStr">
        <is>
          <t>ANS</t>
        </is>
      </c>
      <c r="B85" s="5" t="inlineStr">
        <is>
          <t>PS</t>
        </is>
      </c>
      <c r="C85" s="5" t="n">
        <v>2</v>
      </c>
      <c r="D85" s="5" t="n">
        <v>1</v>
      </c>
      <c r="E85" s="5">
        <f>COUNTIFS(Condições!$C$2:$C$74,$B85,Condições!$E$2:$E$74,"Inicial")</f>
        <v/>
      </c>
      <c r="F85" s="5">
        <f>COUNTIFS(Condições!$C$2:$C$74,$B85,Condições!$E$2:$E$74,"Gerenciado")</f>
        <v/>
      </c>
      <c r="G85" s="5">
        <f>COUNTIFS(Condições!$C$2:$C$74,$B85,Condições!$E$2:$E$74,"Melhoria Contínua")</f>
        <v/>
      </c>
      <c r="H85" s="5">
        <f>COUNTIFS(Avaliação!$A$2:$A$877,$A85,Avaliação!$C$2:$C$877,$B85,Avaliação!$E$2:$E$877,"Inicial",Avaliação!$M$2:$M$877,1)</f>
        <v/>
      </c>
      <c r="I85" s="5">
        <f>COUNTIFS(Avaliação!$A$2:$A$877,$A85,Avaliação!$C$2:$C$877,$B85,Avaliação!$E$2:$E$877,"Gerenciado",Avaliação!$M$2:$M$877,1)</f>
        <v/>
      </c>
      <c r="J85" s="5">
        <f>COUNTIFS(Avaliação!$A$2:$A$877,$A85,Avaliação!$C$2:$C$877,$B85,Avaliação!$E$2:$E$877,"Melhoria Contínua",Avaliação!$M$2:$M$877,1)</f>
        <v/>
      </c>
      <c r="K85" s="5">
        <f>COUNTIFS(Avaliação!$A$2:$A$877,$A85,Avaliação!$C$2:$C$877,$B85,Avaliação!$E$2:$E$877,"Inicial",Avaliação!$N$2:$N$877,1)</f>
        <v/>
      </c>
      <c r="L85" s="5">
        <f>COUNTIFS(Avaliação!$A$2:$A$877,$A85,Avaliação!$C$2:$C$877,$B85,Avaliação!$E$2:$E$877,"Gerenciado",Avaliação!$N$2:$N$877,1)</f>
        <v/>
      </c>
      <c r="M85" s="5">
        <f>COUNTIFS(Avaliação!$A$2:$A$877,$A85,Avaliação!$C$2:$C$877,$B85,Avaliação!$E$2:$E$877,"Melhoria Contínua",Avaliação!$N$2:$N$877,1)</f>
        <v/>
      </c>
      <c r="N85" s="10">
        <f>IF(H85&lt;E85,v_ini*H85/E85,IF(I85&lt;F85,v_ini+(v_ger-v_ini)*I85/F85,IF(J85&lt;G85,v_ger+(v_mc-v_ger)*J85/G85,v_mc)))</f>
        <v/>
      </c>
      <c r="O85" s="10">
        <f>IF(K85&lt;E85,v_ini*K85/E85,IF(L85&lt;F85,v_ini+(v_ger-v_ini)*L85/F85,IF(M85&lt;G85,v_ger+(v_mc-v_ger)*M85/G85,v_mc)))</f>
        <v/>
      </c>
    </row>
    <row r="86">
      <c r="A86" s="5" t="inlineStr">
        <is>
          <t>ANS</t>
        </is>
      </c>
      <c r="B86" s="5" t="inlineStr">
        <is>
          <t>EST</t>
        </is>
      </c>
      <c r="C86" s="5" t="n">
        <v>3</v>
      </c>
      <c r="D86" s="5" t="n">
        <v>1</v>
      </c>
      <c r="E86" s="5">
        <f>COUNTIFS(Condições!$C$2:$C$74,$B86,Condições!$E$2:$E$74,"Inicial")</f>
        <v/>
      </c>
      <c r="F86" s="5">
        <f>COUNTIFS(Condições!$C$2:$C$74,$B86,Condições!$E$2:$E$74,"Gerenciado")</f>
        <v/>
      </c>
      <c r="G86" s="5">
        <f>COUNTIFS(Condições!$C$2:$C$74,$B86,Condições!$E$2:$E$74,"Melhoria Contínua")</f>
        <v/>
      </c>
      <c r="H86" s="5">
        <f>COUNTIFS(Avaliação!$A$2:$A$877,$A86,Avaliação!$C$2:$C$877,$B86,Avaliação!$E$2:$E$877,"Inicial",Avaliação!$M$2:$M$877,1)</f>
        <v/>
      </c>
      <c r="I86" s="5">
        <f>COUNTIFS(Avaliação!$A$2:$A$877,$A86,Avaliação!$C$2:$C$877,$B86,Avaliação!$E$2:$E$877,"Gerenciado",Avaliação!$M$2:$M$877,1)</f>
        <v/>
      </c>
      <c r="J86" s="5">
        <f>COUNTIFS(Avaliação!$A$2:$A$877,$A86,Avaliação!$C$2:$C$877,$B86,Avaliação!$E$2:$E$877,"Melhoria Contínua",Avaliação!$M$2:$M$877,1)</f>
        <v/>
      </c>
      <c r="K86" s="5">
        <f>COUNTIFS(Avaliação!$A$2:$A$877,$A86,Avaliação!$C$2:$C$877,$B86,Avaliação!$E$2:$E$877,"Inicial",Avaliação!$N$2:$N$877,1)</f>
        <v/>
      </c>
      <c r="L86" s="5">
        <f>COUNTIFS(Avaliação!$A$2:$A$877,$A86,Avaliação!$C$2:$C$877,$B86,Avaliação!$E$2:$E$877,"Gerenciado",Avaliação!$N$2:$N$877,1)</f>
        <v/>
      </c>
      <c r="M86" s="5">
        <f>COUNTIFS(Avaliação!$A$2:$A$877,$A86,Avaliação!$C$2:$C$877,$B86,Avaliação!$E$2:$E$877,"Melhoria Contínua",Avaliação!$N$2:$N$877,1)</f>
        <v/>
      </c>
      <c r="N86" s="10">
        <f>IF(H86&lt;E86,v_ini*H86/E86,IF(I86&lt;F86,v_ini+(v_ger-v_ini)*I86/F86,IF(J86&lt;G86,v_ger+(v_mc-v_ger)*J86/G86,v_mc)))</f>
        <v/>
      </c>
      <c r="O86" s="10">
        <f>IF(K86&lt;E86,v_ini*K86/E86,IF(L86&lt;F86,v_ini+(v_ger-v_ini)*L86/F86,IF(M86&lt;G86,v_ger+(v_mc-v_ger)*M86/G86,v_mc)))</f>
        <v/>
      </c>
    </row>
    <row r="87">
      <c r="A87" s="5" t="inlineStr">
        <is>
          <t>ANS</t>
        </is>
      </c>
      <c r="B87" s="5" t="inlineStr">
        <is>
          <t>AGE</t>
        </is>
      </c>
      <c r="C87" s="5" t="n">
        <v>4</v>
      </c>
      <c r="D87" s="5" t="n">
        <v>1</v>
      </c>
      <c r="E87" s="5">
        <f>COUNTIFS(Condições!$C$2:$C$74,$B87,Condições!$E$2:$E$74,"Inicial")</f>
        <v/>
      </c>
      <c r="F87" s="5">
        <f>COUNTIFS(Condições!$C$2:$C$74,$B87,Condições!$E$2:$E$74,"Gerenciado")</f>
        <v/>
      </c>
      <c r="G87" s="5">
        <f>COUNTIFS(Condições!$C$2:$C$74,$B87,Condições!$E$2:$E$74,"Melhoria Contínua")</f>
        <v/>
      </c>
      <c r="H87" s="5">
        <f>COUNTIFS(Avaliação!$A$2:$A$877,$A87,Avaliação!$C$2:$C$877,$B87,Avaliação!$E$2:$E$877,"Inicial",Avaliação!$M$2:$M$877,1)</f>
        <v/>
      </c>
      <c r="I87" s="5">
        <f>COUNTIFS(Avaliação!$A$2:$A$877,$A87,Avaliação!$C$2:$C$877,$B87,Avaliação!$E$2:$E$877,"Gerenciado",Avaliação!$M$2:$M$877,1)</f>
        <v/>
      </c>
      <c r="J87" s="5">
        <f>COUNTIFS(Avaliação!$A$2:$A$877,$A87,Avaliação!$C$2:$C$877,$B87,Avaliação!$E$2:$E$877,"Melhoria Contínua",Avaliação!$M$2:$M$877,1)</f>
        <v/>
      </c>
      <c r="K87" s="5">
        <f>COUNTIFS(Avaliação!$A$2:$A$877,$A87,Avaliação!$C$2:$C$877,$B87,Avaliação!$E$2:$E$877,"Inicial",Avaliação!$N$2:$N$877,1)</f>
        <v/>
      </c>
      <c r="L87" s="5">
        <f>COUNTIFS(Avaliação!$A$2:$A$877,$A87,Avaliação!$C$2:$C$877,$B87,Avaliação!$E$2:$E$877,"Gerenciado",Avaliação!$N$2:$N$877,1)</f>
        <v/>
      </c>
      <c r="M87" s="5">
        <f>COUNTIFS(Avaliação!$A$2:$A$877,$A87,Avaliação!$C$2:$C$877,$B87,Avaliação!$E$2:$E$877,"Melhoria Contínua",Avaliação!$N$2:$N$877,1)</f>
        <v/>
      </c>
      <c r="N87" s="10">
        <f>IF(H87&lt;E87,v_ini*H87/E87,IF(I87&lt;F87,v_ini+(v_ger-v_ini)*I87/F87,IF(J87&lt;G87,v_ger+(v_mc-v_ger)*J87/G87,v_mc)))</f>
        <v/>
      </c>
      <c r="O87" s="10">
        <f>IF(K87&lt;E87,v_ini*K87/E87,IF(L87&lt;F87,v_ini+(v_ger-v_ini)*L87/F87,IF(M87&lt;G87,v_ger+(v_mc-v_ger)*M87/G87,v_mc)))</f>
        <v/>
      </c>
    </row>
    <row r="88">
      <c r="A88" s="5" t="inlineStr">
        <is>
          <t>ANS</t>
        </is>
      </c>
      <c r="B88" s="5" t="inlineStr">
        <is>
          <t>PRO</t>
        </is>
      </c>
      <c r="C88" s="5" t="n">
        <v>5</v>
      </c>
      <c r="D88" s="5" t="n">
        <v>1</v>
      </c>
      <c r="E88" s="5">
        <f>COUNTIFS(Condições!$C$2:$C$74,$B88,Condições!$E$2:$E$74,"Inicial")</f>
        <v/>
      </c>
      <c r="F88" s="5">
        <f>COUNTIFS(Condições!$C$2:$C$74,$B88,Condições!$E$2:$E$74,"Gerenciado")</f>
        <v/>
      </c>
      <c r="G88" s="5">
        <f>COUNTIFS(Condições!$C$2:$C$74,$B88,Condições!$E$2:$E$74,"Melhoria Contínua")</f>
        <v/>
      </c>
      <c r="H88" s="5">
        <f>COUNTIFS(Avaliação!$A$2:$A$877,$A88,Avaliação!$C$2:$C$877,$B88,Avaliação!$E$2:$E$877,"Inicial",Avaliação!$M$2:$M$877,1)</f>
        <v/>
      </c>
      <c r="I88" s="5">
        <f>COUNTIFS(Avaliação!$A$2:$A$877,$A88,Avaliação!$C$2:$C$877,$B88,Avaliação!$E$2:$E$877,"Gerenciado",Avaliação!$M$2:$M$877,1)</f>
        <v/>
      </c>
      <c r="J88" s="5">
        <f>COUNTIFS(Avaliação!$A$2:$A$877,$A88,Avaliação!$C$2:$C$877,$B88,Avaliação!$E$2:$E$877,"Melhoria Contínua",Avaliação!$M$2:$M$877,1)</f>
        <v/>
      </c>
      <c r="K88" s="5">
        <f>COUNTIFS(Avaliação!$A$2:$A$877,$A88,Avaliação!$C$2:$C$877,$B88,Avaliação!$E$2:$E$877,"Inicial",Avaliação!$N$2:$N$877,1)</f>
        <v/>
      </c>
      <c r="L88" s="5">
        <f>COUNTIFS(Avaliação!$A$2:$A$877,$A88,Avaliação!$C$2:$C$877,$B88,Avaliação!$E$2:$E$877,"Gerenciado",Avaliação!$N$2:$N$877,1)</f>
        <v/>
      </c>
      <c r="M88" s="5">
        <f>COUNTIFS(Avaliação!$A$2:$A$877,$A88,Avaliação!$C$2:$C$877,$B88,Avaliação!$E$2:$E$877,"Melhoria Contínua",Avaliação!$N$2:$N$877,1)</f>
        <v/>
      </c>
      <c r="N88" s="10">
        <f>IF(H88&lt;E88,v_ini*H88/E88,IF(I88&lt;F88,v_ini+(v_ger-v_ini)*I88/F88,IF(J88&lt;G88,v_ger+(v_mc-v_ger)*J88/G88,v_mc)))</f>
        <v/>
      </c>
      <c r="O88" s="10">
        <f>IF(K88&lt;E88,v_ini*K88/E88,IF(L88&lt;F88,v_ini+(v_ger-v_ini)*L88/F88,IF(M88&lt;G88,v_ger+(v_mc-v_ger)*M88/G88,v_mc)))</f>
        <v/>
      </c>
    </row>
    <row r="89">
      <c r="A89" s="5" t="inlineStr">
        <is>
          <t>ANS</t>
        </is>
      </c>
      <c r="B89" s="5" t="inlineStr">
        <is>
          <t>ARR_CAP</t>
        </is>
      </c>
      <c r="C89" s="5" t="n">
        <v>6</v>
      </c>
      <c r="D89" s="5" t="n">
        <v>0.3</v>
      </c>
      <c r="E89" s="5">
        <f>COUNTIFS(Condições!$C$2:$C$74,$B89,Condições!$E$2:$E$74,"Inicial")</f>
        <v/>
      </c>
      <c r="F89" s="5">
        <f>COUNTIFS(Condições!$C$2:$C$74,$B89,Condições!$E$2:$E$74,"Gerenciado")</f>
        <v/>
      </c>
      <c r="G89" s="5">
        <f>COUNTIFS(Condições!$C$2:$C$74,$B89,Condições!$E$2:$E$74,"Melhoria Contínua")</f>
        <v/>
      </c>
      <c r="H89" s="5">
        <f>COUNTIFS(Avaliação!$A$2:$A$877,$A89,Avaliação!$C$2:$C$877,$B89,Avaliação!$E$2:$E$877,"Inicial",Avaliação!$M$2:$M$877,1)</f>
        <v/>
      </c>
      <c r="I89" s="5">
        <f>COUNTIFS(Avaliação!$A$2:$A$877,$A89,Avaliação!$C$2:$C$877,$B89,Avaliação!$E$2:$E$877,"Gerenciado",Avaliação!$M$2:$M$877,1)</f>
        <v/>
      </c>
      <c r="J89" s="5">
        <f>COUNTIFS(Avaliação!$A$2:$A$877,$A89,Avaliação!$C$2:$C$877,$B89,Avaliação!$E$2:$E$877,"Melhoria Contínua",Avaliação!$M$2:$M$877,1)</f>
        <v/>
      </c>
      <c r="K89" s="5">
        <f>COUNTIFS(Avaliação!$A$2:$A$877,$A89,Avaliação!$C$2:$C$877,$B89,Avaliação!$E$2:$E$877,"Inicial",Avaliação!$N$2:$N$877,1)</f>
        <v/>
      </c>
      <c r="L89" s="5">
        <f>COUNTIFS(Avaliação!$A$2:$A$877,$A89,Avaliação!$C$2:$C$877,$B89,Avaliação!$E$2:$E$877,"Gerenciado",Avaliação!$N$2:$N$877,1)</f>
        <v/>
      </c>
      <c r="M89" s="5">
        <f>COUNTIFS(Avaliação!$A$2:$A$877,$A89,Avaliação!$C$2:$C$877,$B89,Avaliação!$E$2:$E$877,"Melhoria Contínua",Avaliação!$N$2:$N$877,1)</f>
        <v/>
      </c>
      <c r="N89" s="10">
        <f>IF(H89&lt;E89,v_ini*H89/E89,IF(I89&lt;F89,v_ini+(v_ger-v_ini)*I89/F89,IF(J89&lt;G89,v_ger+(v_mc-v_ger)*J89/G89,v_mc)))</f>
        <v/>
      </c>
      <c r="O89" s="10">
        <f>IF(K89&lt;E89,v_ini*K89/E89,IF(L89&lt;F89,v_ini+(v_ger-v_ini)*L89/F89,IF(M89&lt;G89,v_ger+(v_mc-v_ger)*M89/G89,v_mc)))</f>
        <v/>
      </c>
    </row>
    <row r="90">
      <c r="A90" s="5" t="inlineStr">
        <is>
          <t>ANS</t>
        </is>
      </c>
      <c r="B90" s="5" t="inlineStr">
        <is>
          <t>ARR_MET</t>
        </is>
      </c>
      <c r="C90" s="5" t="n">
        <v>6</v>
      </c>
      <c r="D90" s="5" t="n">
        <v>0.35</v>
      </c>
      <c r="E90" s="5">
        <f>COUNTIFS(Condições!$C$2:$C$74,$B90,Condições!$E$2:$E$74,"Inicial")</f>
        <v/>
      </c>
      <c r="F90" s="5">
        <f>COUNTIFS(Condições!$C$2:$C$74,$B90,Condições!$E$2:$E$74,"Gerenciado")</f>
        <v/>
      </c>
      <c r="G90" s="5">
        <f>COUNTIFS(Condições!$C$2:$C$74,$B90,Condições!$E$2:$E$74,"Melhoria Contínua")</f>
        <v/>
      </c>
      <c r="H90" s="5">
        <f>COUNTIFS(Avaliação!$A$2:$A$877,$A90,Avaliação!$C$2:$C$877,$B90,Avaliação!$E$2:$E$877,"Inicial",Avaliação!$M$2:$M$877,1)</f>
        <v/>
      </c>
      <c r="I90" s="5">
        <f>COUNTIFS(Avaliação!$A$2:$A$877,$A90,Avaliação!$C$2:$C$877,$B90,Avaliação!$E$2:$E$877,"Gerenciado",Avaliação!$M$2:$M$877,1)</f>
        <v/>
      </c>
      <c r="J90" s="5">
        <f>COUNTIFS(Avaliação!$A$2:$A$877,$A90,Avaliação!$C$2:$C$877,$B90,Avaliação!$E$2:$E$877,"Melhoria Contínua",Avaliação!$M$2:$M$877,1)</f>
        <v/>
      </c>
      <c r="K90" s="5">
        <f>COUNTIFS(Avaliação!$A$2:$A$877,$A90,Avaliação!$C$2:$C$877,$B90,Avaliação!$E$2:$E$877,"Inicial",Avaliação!$N$2:$N$877,1)</f>
        <v/>
      </c>
      <c r="L90" s="5">
        <f>COUNTIFS(Avaliação!$A$2:$A$877,$A90,Avaliação!$C$2:$C$877,$B90,Avaliação!$E$2:$E$877,"Gerenciado",Avaliação!$N$2:$N$877,1)</f>
        <v/>
      </c>
      <c r="M90" s="5">
        <f>COUNTIFS(Avaliação!$A$2:$A$877,$A90,Avaliação!$C$2:$C$877,$B90,Avaliação!$E$2:$E$877,"Melhoria Contínua",Avaliação!$N$2:$N$877,1)</f>
        <v/>
      </c>
      <c r="N90" s="10">
        <f>IF(H90&lt;E90,v_ini*H90/E90,IF(I90&lt;F90,v_ini+(v_ger-v_ini)*I90/F90,IF(J90&lt;G90,v_ger+(v_mc-v_ger)*J90/G90,v_mc)))</f>
        <v/>
      </c>
      <c r="O90" s="10">
        <f>IF(K90&lt;E90,v_ini*K90/E90,IF(L90&lt;F90,v_ini+(v_ger-v_ini)*L90/F90,IF(M90&lt;G90,v_ger+(v_mc-v_ger)*M90/G90,v_mc)))</f>
        <v/>
      </c>
    </row>
    <row r="91">
      <c r="A91" s="5" t="inlineStr">
        <is>
          <t>ANS</t>
        </is>
      </c>
      <c r="B91" s="5" t="inlineStr">
        <is>
          <t>ARR_PRO</t>
        </is>
      </c>
      <c r="C91" s="5" t="n">
        <v>6</v>
      </c>
      <c r="D91" s="5" t="n">
        <v>0.35</v>
      </c>
      <c r="E91" s="5">
        <f>COUNTIFS(Condições!$C$2:$C$74,$B91,Condições!$E$2:$E$74,"Inicial")</f>
        <v/>
      </c>
      <c r="F91" s="5">
        <f>COUNTIFS(Condições!$C$2:$C$74,$B91,Condições!$E$2:$E$74,"Gerenciado")</f>
        <v/>
      </c>
      <c r="G91" s="5">
        <f>COUNTIFS(Condições!$C$2:$C$74,$B91,Condições!$E$2:$E$74,"Melhoria Contínua")</f>
        <v/>
      </c>
      <c r="H91" s="5">
        <f>COUNTIFS(Avaliação!$A$2:$A$877,$A91,Avaliação!$C$2:$C$877,$B91,Avaliação!$E$2:$E$877,"Inicial",Avaliação!$M$2:$M$877,1)</f>
        <v/>
      </c>
      <c r="I91" s="5">
        <f>COUNTIFS(Avaliação!$A$2:$A$877,$A91,Avaliação!$C$2:$C$877,$B91,Avaliação!$E$2:$E$877,"Gerenciado",Avaliação!$M$2:$M$877,1)</f>
        <v/>
      </c>
      <c r="J91" s="5">
        <f>COUNTIFS(Avaliação!$A$2:$A$877,$A91,Avaliação!$C$2:$C$877,$B91,Avaliação!$E$2:$E$877,"Melhoria Contínua",Avaliação!$M$2:$M$877,1)</f>
        <v/>
      </c>
      <c r="K91" s="5">
        <f>COUNTIFS(Avaliação!$A$2:$A$877,$A91,Avaliação!$C$2:$C$877,$B91,Avaliação!$E$2:$E$877,"Inicial",Avaliação!$N$2:$N$877,1)</f>
        <v/>
      </c>
      <c r="L91" s="5">
        <f>COUNTIFS(Avaliação!$A$2:$A$877,$A91,Avaliação!$C$2:$C$877,$B91,Avaliação!$E$2:$E$877,"Gerenciado",Avaliação!$N$2:$N$877,1)</f>
        <v/>
      </c>
      <c r="M91" s="5">
        <f>COUNTIFS(Avaliação!$A$2:$A$877,$A91,Avaliação!$C$2:$C$877,$B91,Avaliação!$E$2:$E$877,"Melhoria Contínua",Avaliação!$N$2:$N$877,1)</f>
        <v/>
      </c>
      <c r="N91" s="10">
        <f>IF(H91&lt;E91,v_ini*H91/E91,IF(I91&lt;F91,v_ini+(v_ger-v_ini)*I91/F91,IF(J91&lt;G91,v_ger+(v_mc-v_ger)*J91/G91,v_mc)))</f>
        <v/>
      </c>
      <c r="O91" s="10">
        <f>IF(K91&lt;E91,v_ini*K91/E91,IF(L91&lt;F91,v_ini+(v_ger-v_ini)*L91/F91,IF(M91&lt;G91,v_ger+(v_mc-v_ger)*M91/G91,v_mc)))</f>
        <v/>
      </c>
    </row>
    <row r="92">
      <c r="A92" s="5" t="inlineStr">
        <is>
          <t>ANM</t>
        </is>
      </c>
      <c r="B92" s="5" t="inlineStr">
        <is>
          <t>AIR_CAP</t>
        </is>
      </c>
      <c r="C92" s="5" t="n">
        <v>1</v>
      </c>
      <c r="D92" s="5" t="n">
        <v>0.3</v>
      </c>
      <c r="E92" s="5">
        <f>COUNTIFS(Condições!$C$2:$C$74,$B92,Condições!$E$2:$E$74,"Inicial")</f>
        <v/>
      </c>
      <c r="F92" s="5">
        <f>COUNTIFS(Condições!$C$2:$C$74,$B92,Condições!$E$2:$E$74,"Gerenciado")</f>
        <v/>
      </c>
      <c r="G92" s="5">
        <f>COUNTIFS(Condições!$C$2:$C$74,$B92,Condições!$E$2:$E$74,"Melhoria Contínua")</f>
        <v/>
      </c>
      <c r="H92" s="5">
        <f>COUNTIFS(Avaliação!$A$2:$A$877,$A92,Avaliação!$C$2:$C$877,$B92,Avaliação!$E$2:$E$877,"Inicial",Avaliação!$M$2:$M$877,1)</f>
        <v/>
      </c>
      <c r="I92" s="5">
        <f>COUNTIFS(Avaliação!$A$2:$A$877,$A92,Avaliação!$C$2:$C$877,$B92,Avaliação!$E$2:$E$877,"Gerenciado",Avaliação!$M$2:$M$877,1)</f>
        <v/>
      </c>
      <c r="J92" s="5">
        <f>COUNTIFS(Avaliação!$A$2:$A$877,$A92,Avaliação!$C$2:$C$877,$B92,Avaliação!$E$2:$E$877,"Melhoria Contínua",Avaliação!$M$2:$M$877,1)</f>
        <v/>
      </c>
      <c r="K92" s="5">
        <f>COUNTIFS(Avaliação!$A$2:$A$877,$A92,Avaliação!$C$2:$C$877,$B92,Avaliação!$E$2:$E$877,"Inicial",Avaliação!$N$2:$N$877,1)</f>
        <v/>
      </c>
      <c r="L92" s="5">
        <f>COUNTIFS(Avaliação!$A$2:$A$877,$A92,Avaliação!$C$2:$C$877,$B92,Avaliação!$E$2:$E$877,"Gerenciado",Avaliação!$N$2:$N$877,1)</f>
        <v/>
      </c>
      <c r="M92" s="5">
        <f>COUNTIFS(Avaliação!$A$2:$A$877,$A92,Avaliação!$C$2:$C$877,$B92,Avaliação!$E$2:$E$877,"Melhoria Contínua",Avaliação!$N$2:$N$877,1)</f>
        <v/>
      </c>
      <c r="N92" s="10">
        <f>IF(H92&lt;E92,v_ini*H92/E92,IF(I92&lt;F92,v_ini+(v_ger-v_ini)*I92/F92,IF(J92&lt;G92,v_ger+(v_mc-v_ger)*J92/G92,v_mc)))</f>
        <v/>
      </c>
      <c r="O92" s="10">
        <f>IF(K92&lt;E92,v_ini*K92/E92,IF(L92&lt;F92,v_ini+(v_ger-v_ini)*L92/F92,IF(M92&lt;G92,v_ger+(v_mc-v_ger)*M92/G92,v_mc)))</f>
        <v/>
      </c>
    </row>
    <row r="93">
      <c r="A93" s="5" t="inlineStr">
        <is>
          <t>ANM</t>
        </is>
      </c>
      <c r="B93" s="5" t="inlineStr">
        <is>
          <t>AIR_MET</t>
        </is>
      </c>
      <c r="C93" s="5" t="n">
        <v>1</v>
      </c>
      <c r="D93" s="5" t="n">
        <v>0.35</v>
      </c>
      <c r="E93" s="5">
        <f>COUNTIFS(Condições!$C$2:$C$74,$B93,Condições!$E$2:$E$74,"Inicial")</f>
        <v/>
      </c>
      <c r="F93" s="5">
        <f>COUNTIFS(Condições!$C$2:$C$74,$B93,Condições!$E$2:$E$74,"Gerenciado")</f>
        <v/>
      </c>
      <c r="G93" s="5">
        <f>COUNTIFS(Condições!$C$2:$C$74,$B93,Condições!$E$2:$E$74,"Melhoria Contínua")</f>
        <v/>
      </c>
      <c r="H93" s="5">
        <f>COUNTIFS(Avaliação!$A$2:$A$877,$A93,Avaliação!$C$2:$C$877,$B93,Avaliação!$E$2:$E$877,"Inicial",Avaliação!$M$2:$M$877,1)</f>
        <v/>
      </c>
      <c r="I93" s="5">
        <f>COUNTIFS(Avaliação!$A$2:$A$877,$A93,Avaliação!$C$2:$C$877,$B93,Avaliação!$E$2:$E$877,"Gerenciado",Avaliação!$M$2:$M$877,1)</f>
        <v/>
      </c>
      <c r="J93" s="5">
        <f>COUNTIFS(Avaliação!$A$2:$A$877,$A93,Avaliação!$C$2:$C$877,$B93,Avaliação!$E$2:$E$877,"Melhoria Contínua",Avaliação!$M$2:$M$877,1)</f>
        <v/>
      </c>
      <c r="K93" s="5">
        <f>COUNTIFS(Avaliação!$A$2:$A$877,$A93,Avaliação!$C$2:$C$877,$B93,Avaliação!$E$2:$E$877,"Inicial",Avaliação!$N$2:$N$877,1)</f>
        <v/>
      </c>
      <c r="L93" s="5">
        <f>COUNTIFS(Avaliação!$A$2:$A$877,$A93,Avaliação!$C$2:$C$877,$B93,Avaliação!$E$2:$E$877,"Gerenciado",Avaliação!$N$2:$N$877,1)</f>
        <v/>
      </c>
      <c r="M93" s="5">
        <f>COUNTIFS(Avaliação!$A$2:$A$877,$A93,Avaliação!$C$2:$C$877,$B93,Avaliação!$E$2:$E$877,"Melhoria Contínua",Avaliação!$N$2:$N$877,1)</f>
        <v/>
      </c>
      <c r="N93" s="10">
        <f>IF(H93&lt;E93,v_ini*H93/E93,IF(I93&lt;F93,v_ini+(v_ger-v_ini)*I93/F93,IF(J93&lt;G93,v_ger+(v_mc-v_ger)*J93/G93,v_mc)))</f>
        <v/>
      </c>
      <c r="O93" s="10">
        <f>IF(K93&lt;E93,v_ini*K93/E93,IF(L93&lt;F93,v_ini+(v_ger-v_ini)*L93/F93,IF(M93&lt;G93,v_ger+(v_mc-v_ger)*M93/G93,v_mc)))</f>
        <v/>
      </c>
    </row>
    <row r="94">
      <c r="A94" s="5" t="inlineStr">
        <is>
          <t>ANM</t>
        </is>
      </c>
      <c r="B94" s="5" t="inlineStr">
        <is>
          <t>AIR_PRO</t>
        </is>
      </c>
      <c r="C94" s="5" t="n">
        <v>1</v>
      </c>
      <c r="D94" s="5" t="n">
        <v>0.35</v>
      </c>
      <c r="E94" s="5">
        <f>COUNTIFS(Condições!$C$2:$C$74,$B94,Condições!$E$2:$E$74,"Inicial")</f>
        <v/>
      </c>
      <c r="F94" s="5">
        <f>COUNTIFS(Condições!$C$2:$C$74,$B94,Condições!$E$2:$E$74,"Gerenciado")</f>
        <v/>
      </c>
      <c r="G94" s="5">
        <f>COUNTIFS(Condições!$C$2:$C$74,$B94,Condições!$E$2:$E$74,"Melhoria Contínua")</f>
        <v/>
      </c>
      <c r="H94" s="5">
        <f>COUNTIFS(Avaliação!$A$2:$A$877,$A94,Avaliação!$C$2:$C$877,$B94,Avaliação!$E$2:$E$877,"Inicial",Avaliação!$M$2:$M$877,1)</f>
        <v/>
      </c>
      <c r="I94" s="5">
        <f>COUNTIFS(Avaliação!$A$2:$A$877,$A94,Avaliação!$C$2:$C$877,$B94,Avaliação!$E$2:$E$877,"Gerenciado",Avaliação!$M$2:$M$877,1)</f>
        <v/>
      </c>
      <c r="J94" s="5">
        <f>COUNTIFS(Avaliação!$A$2:$A$877,$A94,Avaliação!$C$2:$C$877,$B94,Avaliação!$E$2:$E$877,"Melhoria Contínua",Avaliação!$M$2:$M$877,1)</f>
        <v/>
      </c>
      <c r="K94" s="5">
        <f>COUNTIFS(Avaliação!$A$2:$A$877,$A94,Avaliação!$C$2:$C$877,$B94,Avaliação!$E$2:$E$877,"Inicial",Avaliação!$N$2:$N$877,1)</f>
        <v/>
      </c>
      <c r="L94" s="5">
        <f>COUNTIFS(Avaliação!$A$2:$A$877,$A94,Avaliação!$C$2:$C$877,$B94,Avaliação!$E$2:$E$877,"Gerenciado",Avaliação!$N$2:$N$877,1)</f>
        <v/>
      </c>
      <c r="M94" s="5">
        <f>COUNTIFS(Avaliação!$A$2:$A$877,$A94,Avaliação!$C$2:$C$877,$B94,Avaliação!$E$2:$E$877,"Melhoria Contínua",Avaliação!$N$2:$N$877,1)</f>
        <v/>
      </c>
      <c r="N94" s="10">
        <f>IF(H94&lt;E94,v_ini*H94/E94,IF(I94&lt;F94,v_ini+(v_ger-v_ini)*I94/F94,IF(J94&lt;G94,v_ger+(v_mc-v_ger)*J94/G94,v_mc)))</f>
        <v/>
      </c>
      <c r="O94" s="10">
        <f>IF(K94&lt;E94,v_ini*K94/E94,IF(L94&lt;F94,v_ini+(v_ger-v_ini)*L94/F94,IF(M94&lt;G94,v_ger+(v_mc-v_ger)*M94/G94,v_mc)))</f>
        <v/>
      </c>
    </row>
    <row r="95">
      <c r="A95" s="5" t="inlineStr">
        <is>
          <t>ANM</t>
        </is>
      </c>
      <c r="B95" s="5" t="inlineStr">
        <is>
          <t>PS</t>
        </is>
      </c>
      <c r="C95" s="5" t="n">
        <v>2</v>
      </c>
      <c r="D95" s="5" t="n">
        <v>1</v>
      </c>
      <c r="E95" s="5">
        <f>COUNTIFS(Condições!$C$2:$C$74,$B95,Condições!$E$2:$E$74,"Inicial")</f>
        <v/>
      </c>
      <c r="F95" s="5">
        <f>COUNTIFS(Condições!$C$2:$C$74,$B95,Condições!$E$2:$E$74,"Gerenciado")</f>
        <v/>
      </c>
      <c r="G95" s="5">
        <f>COUNTIFS(Condições!$C$2:$C$74,$B95,Condições!$E$2:$E$74,"Melhoria Contínua")</f>
        <v/>
      </c>
      <c r="H95" s="5">
        <f>COUNTIFS(Avaliação!$A$2:$A$877,$A95,Avaliação!$C$2:$C$877,$B95,Avaliação!$E$2:$E$877,"Inicial",Avaliação!$M$2:$M$877,1)</f>
        <v/>
      </c>
      <c r="I95" s="5">
        <f>COUNTIFS(Avaliação!$A$2:$A$877,$A95,Avaliação!$C$2:$C$877,$B95,Avaliação!$E$2:$E$877,"Gerenciado",Avaliação!$M$2:$M$877,1)</f>
        <v/>
      </c>
      <c r="J95" s="5">
        <f>COUNTIFS(Avaliação!$A$2:$A$877,$A95,Avaliação!$C$2:$C$877,$B95,Avaliação!$E$2:$E$877,"Melhoria Contínua",Avaliação!$M$2:$M$877,1)</f>
        <v/>
      </c>
      <c r="K95" s="5">
        <f>COUNTIFS(Avaliação!$A$2:$A$877,$A95,Avaliação!$C$2:$C$877,$B95,Avaliação!$E$2:$E$877,"Inicial",Avaliação!$N$2:$N$877,1)</f>
        <v/>
      </c>
      <c r="L95" s="5">
        <f>COUNTIFS(Avaliação!$A$2:$A$877,$A95,Avaliação!$C$2:$C$877,$B95,Avaliação!$E$2:$E$877,"Gerenciado",Avaliação!$N$2:$N$877,1)</f>
        <v/>
      </c>
      <c r="M95" s="5">
        <f>COUNTIFS(Avaliação!$A$2:$A$877,$A95,Avaliação!$C$2:$C$877,$B95,Avaliação!$E$2:$E$877,"Melhoria Contínua",Avaliação!$N$2:$N$877,1)</f>
        <v/>
      </c>
      <c r="N95" s="10">
        <f>IF(H95&lt;E95,v_ini*H95/E95,IF(I95&lt;F95,v_ini+(v_ger-v_ini)*I95/F95,IF(J95&lt;G95,v_ger+(v_mc-v_ger)*J95/G95,v_mc)))</f>
        <v/>
      </c>
      <c r="O95" s="10">
        <f>IF(K95&lt;E95,v_ini*K95/E95,IF(L95&lt;F95,v_ini+(v_ger-v_ini)*L95/F95,IF(M95&lt;G95,v_ger+(v_mc-v_ger)*M95/G95,v_mc)))</f>
        <v/>
      </c>
    </row>
    <row r="96">
      <c r="A96" s="5" t="inlineStr">
        <is>
          <t>ANM</t>
        </is>
      </c>
      <c r="B96" s="5" t="inlineStr">
        <is>
          <t>EST</t>
        </is>
      </c>
      <c r="C96" s="5" t="n">
        <v>3</v>
      </c>
      <c r="D96" s="5" t="n">
        <v>1</v>
      </c>
      <c r="E96" s="5">
        <f>COUNTIFS(Condições!$C$2:$C$74,$B96,Condições!$E$2:$E$74,"Inicial")</f>
        <v/>
      </c>
      <c r="F96" s="5">
        <f>COUNTIFS(Condições!$C$2:$C$74,$B96,Condições!$E$2:$E$74,"Gerenciado")</f>
        <v/>
      </c>
      <c r="G96" s="5">
        <f>COUNTIFS(Condições!$C$2:$C$74,$B96,Condições!$E$2:$E$74,"Melhoria Contínua")</f>
        <v/>
      </c>
      <c r="H96" s="5">
        <f>COUNTIFS(Avaliação!$A$2:$A$877,$A96,Avaliação!$C$2:$C$877,$B96,Avaliação!$E$2:$E$877,"Inicial",Avaliação!$M$2:$M$877,1)</f>
        <v/>
      </c>
      <c r="I96" s="5">
        <f>COUNTIFS(Avaliação!$A$2:$A$877,$A96,Avaliação!$C$2:$C$877,$B96,Avaliação!$E$2:$E$877,"Gerenciado",Avaliação!$M$2:$M$877,1)</f>
        <v/>
      </c>
      <c r="J96" s="5">
        <f>COUNTIFS(Avaliação!$A$2:$A$877,$A96,Avaliação!$C$2:$C$877,$B96,Avaliação!$E$2:$E$877,"Melhoria Contínua",Avaliação!$M$2:$M$877,1)</f>
        <v/>
      </c>
      <c r="K96" s="5">
        <f>COUNTIFS(Avaliação!$A$2:$A$877,$A96,Avaliação!$C$2:$C$877,$B96,Avaliação!$E$2:$E$877,"Inicial",Avaliação!$N$2:$N$877,1)</f>
        <v/>
      </c>
      <c r="L96" s="5">
        <f>COUNTIFS(Avaliação!$A$2:$A$877,$A96,Avaliação!$C$2:$C$877,$B96,Avaliação!$E$2:$E$877,"Gerenciado",Avaliação!$N$2:$N$877,1)</f>
        <v/>
      </c>
      <c r="M96" s="5">
        <f>COUNTIFS(Avaliação!$A$2:$A$877,$A96,Avaliação!$C$2:$C$877,$B96,Avaliação!$E$2:$E$877,"Melhoria Contínua",Avaliação!$N$2:$N$877,1)</f>
        <v/>
      </c>
      <c r="N96" s="10">
        <f>IF(H96&lt;E96,v_ini*H96/E96,IF(I96&lt;F96,v_ini+(v_ger-v_ini)*I96/F96,IF(J96&lt;G96,v_ger+(v_mc-v_ger)*J96/G96,v_mc)))</f>
        <v/>
      </c>
      <c r="O96" s="10">
        <f>IF(K96&lt;E96,v_ini*K96/E96,IF(L96&lt;F96,v_ini+(v_ger-v_ini)*L96/F96,IF(M96&lt;G96,v_ger+(v_mc-v_ger)*M96/G96,v_mc)))</f>
        <v/>
      </c>
    </row>
    <row r="97">
      <c r="A97" s="5" t="inlineStr">
        <is>
          <t>ANM</t>
        </is>
      </c>
      <c r="B97" s="5" t="inlineStr">
        <is>
          <t>AGE</t>
        </is>
      </c>
      <c r="C97" s="5" t="n">
        <v>4</v>
      </c>
      <c r="D97" s="5" t="n">
        <v>1</v>
      </c>
      <c r="E97" s="5">
        <f>COUNTIFS(Condições!$C$2:$C$74,$B97,Condições!$E$2:$E$74,"Inicial")</f>
        <v/>
      </c>
      <c r="F97" s="5">
        <f>COUNTIFS(Condições!$C$2:$C$74,$B97,Condições!$E$2:$E$74,"Gerenciado")</f>
        <v/>
      </c>
      <c r="G97" s="5">
        <f>COUNTIFS(Condições!$C$2:$C$74,$B97,Condições!$E$2:$E$74,"Melhoria Contínua")</f>
        <v/>
      </c>
      <c r="H97" s="5">
        <f>COUNTIFS(Avaliação!$A$2:$A$877,$A97,Avaliação!$C$2:$C$877,$B97,Avaliação!$E$2:$E$877,"Inicial",Avaliação!$M$2:$M$877,1)</f>
        <v/>
      </c>
      <c r="I97" s="5">
        <f>COUNTIFS(Avaliação!$A$2:$A$877,$A97,Avaliação!$C$2:$C$877,$B97,Avaliação!$E$2:$E$877,"Gerenciado",Avaliação!$M$2:$M$877,1)</f>
        <v/>
      </c>
      <c r="J97" s="5">
        <f>COUNTIFS(Avaliação!$A$2:$A$877,$A97,Avaliação!$C$2:$C$877,$B97,Avaliação!$E$2:$E$877,"Melhoria Contínua",Avaliação!$M$2:$M$877,1)</f>
        <v/>
      </c>
      <c r="K97" s="5">
        <f>COUNTIFS(Avaliação!$A$2:$A$877,$A97,Avaliação!$C$2:$C$877,$B97,Avaliação!$E$2:$E$877,"Inicial",Avaliação!$N$2:$N$877,1)</f>
        <v/>
      </c>
      <c r="L97" s="5">
        <f>COUNTIFS(Avaliação!$A$2:$A$877,$A97,Avaliação!$C$2:$C$877,$B97,Avaliação!$E$2:$E$877,"Gerenciado",Avaliação!$N$2:$N$877,1)</f>
        <v/>
      </c>
      <c r="M97" s="5">
        <f>COUNTIFS(Avaliação!$A$2:$A$877,$A97,Avaliação!$C$2:$C$877,$B97,Avaliação!$E$2:$E$877,"Melhoria Contínua",Avaliação!$N$2:$N$877,1)</f>
        <v/>
      </c>
      <c r="N97" s="10">
        <f>IF(H97&lt;E97,v_ini*H97/E97,IF(I97&lt;F97,v_ini+(v_ger-v_ini)*I97/F97,IF(J97&lt;G97,v_ger+(v_mc-v_ger)*J97/G97,v_mc)))</f>
        <v/>
      </c>
      <c r="O97" s="10">
        <f>IF(K97&lt;E97,v_ini*K97/E97,IF(L97&lt;F97,v_ini+(v_ger-v_ini)*L97/F97,IF(M97&lt;G97,v_ger+(v_mc-v_ger)*M97/G97,v_mc)))</f>
        <v/>
      </c>
    </row>
    <row r="98">
      <c r="A98" s="5" t="inlineStr">
        <is>
          <t>ANM</t>
        </is>
      </c>
      <c r="B98" s="5" t="inlineStr">
        <is>
          <t>PRO</t>
        </is>
      </c>
      <c r="C98" s="5" t="n">
        <v>5</v>
      </c>
      <c r="D98" s="5" t="n">
        <v>1</v>
      </c>
      <c r="E98" s="5">
        <f>COUNTIFS(Condições!$C$2:$C$74,$B98,Condições!$E$2:$E$74,"Inicial")</f>
        <v/>
      </c>
      <c r="F98" s="5">
        <f>COUNTIFS(Condições!$C$2:$C$74,$B98,Condições!$E$2:$E$74,"Gerenciado")</f>
        <v/>
      </c>
      <c r="G98" s="5">
        <f>COUNTIFS(Condições!$C$2:$C$74,$B98,Condições!$E$2:$E$74,"Melhoria Contínua")</f>
        <v/>
      </c>
      <c r="H98" s="5">
        <f>COUNTIFS(Avaliação!$A$2:$A$877,$A98,Avaliação!$C$2:$C$877,$B98,Avaliação!$E$2:$E$877,"Inicial",Avaliação!$M$2:$M$877,1)</f>
        <v/>
      </c>
      <c r="I98" s="5">
        <f>COUNTIFS(Avaliação!$A$2:$A$877,$A98,Avaliação!$C$2:$C$877,$B98,Avaliação!$E$2:$E$877,"Gerenciado",Avaliação!$M$2:$M$877,1)</f>
        <v/>
      </c>
      <c r="J98" s="5">
        <f>COUNTIFS(Avaliação!$A$2:$A$877,$A98,Avaliação!$C$2:$C$877,$B98,Avaliação!$E$2:$E$877,"Melhoria Contínua",Avaliação!$M$2:$M$877,1)</f>
        <v/>
      </c>
      <c r="K98" s="5">
        <f>COUNTIFS(Avaliação!$A$2:$A$877,$A98,Avaliação!$C$2:$C$877,$B98,Avaliação!$E$2:$E$877,"Inicial",Avaliação!$N$2:$N$877,1)</f>
        <v/>
      </c>
      <c r="L98" s="5">
        <f>COUNTIFS(Avaliação!$A$2:$A$877,$A98,Avaliação!$C$2:$C$877,$B98,Avaliação!$E$2:$E$877,"Gerenciado",Avaliação!$N$2:$N$877,1)</f>
        <v/>
      </c>
      <c r="M98" s="5">
        <f>COUNTIFS(Avaliação!$A$2:$A$877,$A98,Avaliação!$C$2:$C$877,$B98,Avaliação!$E$2:$E$877,"Melhoria Contínua",Avaliação!$N$2:$N$877,1)</f>
        <v/>
      </c>
      <c r="N98" s="10">
        <f>IF(H98&lt;E98,v_ini*H98/E98,IF(I98&lt;F98,v_ini+(v_ger-v_ini)*I98/F98,IF(J98&lt;G98,v_ger+(v_mc-v_ger)*J98/G98,v_mc)))</f>
        <v/>
      </c>
      <c r="O98" s="10">
        <f>IF(K98&lt;E98,v_ini*K98/E98,IF(L98&lt;F98,v_ini+(v_ger-v_ini)*L98/F98,IF(M98&lt;G98,v_ger+(v_mc-v_ger)*M98/G98,v_mc)))</f>
        <v/>
      </c>
    </row>
    <row r="99">
      <c r="A99" s="5" t="inlineStr">
        <is>
          <t>ANM</t>
        </is>
      </c>
      <c r="B99" s="5" t="inlineStr">
        <is>
          <t>ARR_CAP</t>
        </is>
      </c>
      <c r="C99" s="5" t="n">
        <v>6</v>
      </c>
      <c r="D99" s="5" t="n">
        <v>0.3</v>
      </c>
      <c r="E99" s="5">
        <f>COUNTIFS(Condições!$C$2:$C$74,$B99,Condições!$E$2:$E$74,"Inicial")</f>
        <v/>
      </c>
      <c r="F99" s="5">
        <f>COUNTIFS(Condições!$C$2:$C$74,$B99,Condições!$E$2:$E$74,"Gerenciado")</f>
        <v/>
      </c>
      <c r="G99" s="5">
        <f>COUNTIFS(Condições!$C$2:$C$74,$B99,Condições!$E$2:$E$74,"Melhoria Contínua")</f>
        <v/>
      </c>
      <c r="H99" s="5">
        <f>COUNTIFS(Avaliação!$A$2:$A$877,$A99,Avaliação!$C$2:$C$877,$B99,Avaliação!$E$2:$E$877,"Inicial",Avaliação!$M$2:$M$877,1)</f>
        <v/>
      </c>
      <c r="I99" s="5">
        <f>COUNTIFS(Avaliação!$A$2:$A$877,$A99,Avaliação!$C$2:$C$877,$B99,Avaliação!$E$2:$E$877,"Gerenciado",Avaliação!$M$2:$M$877,1)</f>
        <v/>
      </c>
      <c r="J99" s="5">
        <f>COUNTIFS(Avaliação!$A$2:$A$877,$A99,Avaliação!$C$2:$C$877,$B99,Avaliação!$E$2:$E$877,"Melhoria Contínua",Avaliação!$M$2:$M$877,1)</f>
        <v/>
      </c>
      <c r="K99" s="5">
        <f>COUNTIFS(Avaliação!$A$2:$A$877,$A99,Avaliação!$C$2:$C$877,$B99,Avaliação!$E$2:$E$877,"Inicial",Avaliação!$N$2:$N$877,1)</f>
        <v/>
      </c>
      <c r="L99" s="5">
        <f>COUNTIFS(Avaliação!$A$2:$A$877,$A99,Avaliação!$C$2:$C$877,$B99,Avaliação!$E$2:$E$877,"Gerenciado",Avaliação!$N$2:$N$877,1)</f>
        <v/>
      </c>
      <c r="M99" s="5">
        <f>COUNTIFS(Avaliação!$A$2:$A$877,$A99,Avaliação!$C$2:$C$877,$B99,Avaliação!$E$2:$E$877,"Melhoria Contínua",Avaliação!$N$2:$N$877,1)</f>
        <v/>
      </c>
      <c r="N99" s="10">
        <f>IF(H99&lt;E99,v_ini*H99/E99,IF(I99&lt;F99,v_ini+(v_ger-v_ini)*I99/F99,IF(J99&lt;G99,v_ger+(v_mc-v_ger)*J99/G99,v_mc)))</f>
        <v/>
      </c>
      <c r="O99" s="10">
        <f>IF(K99&lt;E99,v_ini*K99/E99,IF(L99&lt;F99,v_ini+(v_ger-v_ini)*L99/F99,IF(M99&lt;G99,v_ger+(v_mc-v_ger)*M99/G99,v_mc)))</f>
        <v/>
      </c>
    </row>
    <row r="100">
      <c r="A100" s="5" t="inlineStr">
        <is>
          <t>ANM</t>
        </is>
      </c>
      <c r="B100" s="5" t="inlineStr">
        <is>
          <t>ARR_MET</t>
        </is>
      </c>
      <c r="C100" s="5" t="n">
        <v>6</v>
      </c>
      <c r="D100" s="5" t="n">
        <v>0.35</v>
      </c>
      <c r="E100" s="5">
        <f>COUNTIFS(Condições!$C$2:$C$74,$B100,Condições!$E$2:$E$74,"Inicial")</f>
        <v/>
      </c>
      <c r="F100" s="5">
        <f>COUNTIFS(Condições!$C$2:$C$74,$B100,Condições!$E$2:$E$74,"Gerenciado")</f>
        <v/>
      </c>
      <c r="G100" s="5">
        <f>COUNTIFS(Condições!$C$2:$C$74,$B100,Condições!$E$2:$E$74,"Melhoria Contínua")</f>
        <v/>
      </c>
      <c r="H100" s="5">
        <f>COUNTIFS(Avaliação!$A$2:$A$877,$A100,Avaliação!$C$2:$C$877,$B100,Avaliação!$E$2:$E$877,"Inicial",Avaliação!$M$2:$M$877,1)</f>
        <v/>
      </c>
      <c r="I100" s="5">
        <f>COUNTIFS(Avaliação!$A$2:$A$877,$A100,Avaliação!$C$2:$C$877,$B100,Avaliação!$E$2:$E$877,"Gerenciado",Avaliação!$M$2:$M$877,1)</f>
        <v/>
      </c>
      <c r="J100" s="5">
        <f>COUNTIFS(Avaliação!$A$2:$A$877,$A100,Avaliação!$C$2:$C$877,$B100,Avaliação!$E$2:$E$877,"Melhoria Contínua",Avaliação!$M$2:$M$877,1)</f>
        <v/>
      </c>
      <c r="K100" s="5">
        <f>COUNTIFS(Avaliação!$A$2:$A$877,$A100,Avaliação!$C$2:$C$877,$B100,Avaliação!$E$2:$E$877,"Inicial",Avaliação!$N$2:$N$877,1)</f>
        <v/>
      </c>
      <c r="L100" s="5">
        <f>COUNTIFS(Avaliação!$A$2:$A$877,$A100,Avaliação!$C$2:$C$877,$B100,Avaliação!$E$2:$E$877,"Gerenciado",Avaliação!$N$2:$N$877,1)</f>
        <v/>
      </c>
      <c r="M100" s="5">
        <f>COUNTIFS(Avaliação!$A$2:$A$877,$A100,Avaliação!$C$2:$C$877,$B100,Avaliação!$E$2:$E$877,"Melhoria Contínua",Avaliação!$N$2:$N$877,1)</f>
        <v/>
      </c>
      <c r="N100" s="10">
        <f>IF(H100&lt;E100,v_ini*H100/E100,IF(I100&lt;F100,v_ini+(v_ger-v_ini)*I100/F100,IF(J100&lt;G100,v_ger+(v_mc-v_ger)*J100/G100,v_mc)))</f>
        <v/>
      </c>
      <c r="O100" s="10">
        <f>IF(K100&lt;E100,v_ini*K100/E100,IF(L100&lt;F100,v_ini+(v_ger-v_ini)*L100/F100,IF(M100&lt;G100,v_ger+(v_mc-v_ger)*M100/G100,v_mc)))</f>
        <v/>
      </c>
    </row>
    <row r="101">
      <c r="A101" s="5" t="inlineStr">
        <is>
          <t>ANM</t>
        </is>
      </c>
      <c r="B101" s="5" t="inlineStr">
        <is>
          <t>ARR_PRO</t>
        </is>
      </c>
      <c r="C101" s="5" t="n">
        <v>6</v>
      </c>
      <c r="D101" s="5" t="n">
        <v>0.35</v>
      </c>
      <c r="E101" s="5">
        <f>COUNTIFS(Condições!$C$2:$C$74,$B101,Condições!$E$2:$E$74,"Inicial")</f>
        <v/>
      </c>
      <c r="F101" s="5">
        <f>COUNTIFS(Condições!$C$2:$C$74,$B101,Condições!$E$2:$E$74,"Gerenciado")</f>
        <v/>
      </c>
      <c r="G101" s="5">
        <f>COUNTIFS(Condições!$C$2:$C$74,$B101,Condições!$E$2:$E$74,"Melhoria Contínua")</f>
        <v/>
      </c>
      <c r="H101" s="5">
        <f>COUNTIFS(Avaliação!$A$2:$A$877,$A101,Avaliação!$C$2:$C$877,$B101,Avaliação!$E$2:$E$877,"Inicial",Avaliação!$M$2:$M$877,1)</f>
        <v/>
      </c>
      <c r="I101" s="5">
        <f>COUNTIFS(Avaliação!$A$2:$A$877,$A101,Avaliação!$C$2:$C$877,$B101,Avaliação!$E$2:$E$877,"Gerenciado",Avaliação!$M$2:$M$877,1)</f>
        <v/>
      </c>
      <c r="J101" s="5">
        <f>COUNTIFS(Avaliação!$A$2:$A$877,$A101,Avaliação!$C$2:$C$877,$B101,Avaliação!$E$2:$E$877,"Melhoria Contínua",Avaliação!$M$2:$M$877,1)</f>
        <v/>
      </c>
      <c r="K101" s="5">
        <f>COUNTIFS(Avaliação!$A$2:$A$877,$A101,Avaliação!$C$2:$C$877,$B101,Avaliação!$E$2:$E$877,"Inicial",Avaliação!$N$2:$N$877,1)</f>
        <v/>
      </c>
      <c r="L101" s="5">
        <f>COUNTIFS(Avaliação!$A$2:$A$877,$A101,Avaliação!$C$2:$C$877,$B101,Avaliação!$E$2:$E$877,"Gerenciado",Avaliação!$N$2:$N$877,1)</f>
        <v/>
      </c>
      <c r="M101" s="5">
        <f>COUNTIFS(Avaliação!$A$2:$A$877,$A101,Avaliação!$C$2:$C$877,$B101,Avaliação!$E$2:$E$877,"Melhoria Contínua",Avaliação!$N$2:$N$877,1)</f>
        <v/>
      </c>
      <c r="N101" s="10">
        <f>IF(H101&lt;E101,v_ini*H101/E101,IF(I101&lt;F101,v_ini+(v_ger-v_ini)*I101/F101,IF(J101&lt;G101,v_ger+(v_mc-v_ger)*J101/G101,v_mc)))</f>
        <v/>
      </c>
      <c r="O101" s="10">
        <f>IF(K101&lt;E101,v_ini*K101/E101,IF(L101&lt;F101,v_ini+(v_ger-v_ini)*L101/F101,IF(M101&lt;G101,v_ger+(v_mc-v_ger)*M101/G101,v_mc)))</f>
        <v/>
      </c>
    </row>
    <row r="102">
      <c r="A102" s="5" t="inlineStr">
        <is>
          <t>ANCINE</t>
        </is>
      </c>
      <c r="B102" s="5" t="inlineStr">
        <is>
          <t>AIR_CAP</t>
        </is>
      </c>
      <c r="C102" s="5" t="n">
        <v>1</v>
      </c>
      <c r="D102" s="5" t="n">
        <v>0.3</v>
      </c>
      <c r="E102" s="5">
        <f>COUNTIFS(Condições!$C$2:$C$74,$B102,Condições!$E$2:$E$74,"Inicial")</f>
        <v/>
      </c>
      <c r="F102" s="5">
        <f>COUNTIFS(Condições!$C$2:$C$74,$B102,Condições!$E$2:$E$74,"Gerenciado")</f>
        <v/>
      </c>
      <c r="G102" s="5">
        <f>COUNTIFS(Condições!$C$2:$C$74,$B102,Condições!$E$2:$E$74,"Melhoria Contínua")</f>
        <v/>
      </c>
      <c r="H102" s="5">
        <f>COUNTIFS(Avaliação!$A$2:$A$877,$A102,Avaliação!$C$2:$C$877,$B102,Avaliação!$E$2:$E$877,"Inicial",Avaliação!$M$2:$M$877,1)</f>
        <v/>
      </c>
      <c r="I102" s="5">
        <f>COUNTIFS(Avaliação!$A$2:$A$877,$A102,Avaliação!$C$2:$C$877,$B102,Avaliação!$E$2:$E$877,"Gerenciado",Avaliação!$M$2:$M$877,1)</f>
        <v/>
      </c>
      <c r="J102" s="5">
        <f>COUNTIFS(Avaliação!$A$2:$A$877,$A102,Avaliação!$C$2:$C$877,$B102,Avaliação!$E$2:$E$877,"Melhoria Contínua",Avaliação!$M$2:$M$877,1)</f>
        <v/>
      </c>
      <c r="K102" s="5">
        <f>COUNTIFS(Avaliação!$A$2:$A$877,$A102,Avaliação!$C$2:$C$877,$B102,Avaliação!$E$2:$E$877,"Inicial",Avaliação!$N$2:$N$877,1)</f>
        <v/>
      </c>
      <c r="L102" s="5">
        <f>COUNTIFS(Avaliação!$A$2:$A$877,$A102,Avaliação!$C$2:$C$877,$B102,Avaliação!$E$2:$E$877,"Gerenciado",Avaliação!$N$2:$N$877,1)</f>
        <v/>
      </c>
      <c r="M102" s="5">
        <f>COUNTIFS(Avaliação!$A$2:$A$877,$A102,Avaliação!$C$2:$C$877,$B102,Avaliação!$E$2:$E$877,"Melhoria Contínua",Avaliação!$N$2:$N$877,1)</f>
        <v/>
      </c>
      <c r="N102" s="10">
        <f>IF(H102&lt;E102,v_ini*H102/E102,IF(I102&lt;F102,v_ini+(v_ger-v_ini)*I102/F102,IF(J102&lt;G102,v_ger+(v_mc-v_ger)*J102/G102,v_mc)))</f>
        <v/>
      </c>
      <c r="O102" s="10">
        <f>IF(K102&lt;E102,v_ini*K102/E102,IF(L102&lt;F102,v_ini+(v_ger-v_ini)*L102/F102,IF(M102&lt;G102,v_ger+(v_mc-v_ger)*M102/G102,v_mc)))</f>
        <v/>
      </c>
    </row>
    <row r="103">
      <c r="A103" s="5" t="inlineStr">
        <is>
          <t>ANCINE</t>
        </is>
      </c>
      <c r="B103" s="5" t="inlineStr">
        <is>
          <t>AIR_MET</t>
        </is>
      </c>
      <c r="C103" s="5" t="n">
        <v>1</v>
      </c>
      <c r="D103" s="5" t="n">
        <v>0.35</v>
      </c>
      <c r="E103" s="5">
        <f>COUNTIFS(Condições!$C$2:$C$74,$B103,Condições!$E$2:$E$74,"Inicial")</f>
        <v/>
      </c>
      <c r="F103" s="5">
        <f>COUNTIFS(Condições!$C$2:$C$74,$B103,Condições!$E$2:$E$74,"Gerenciado")</f>
        <v/>
      </c>
      <c r="G103" s="5">
        <f>COUNTIFS(Condições!$C$2:$C$74,$B103,Condições!$E$2:$E$74,"Melhoria Contínua")</f>
        <v/>
      </c>
      <c r="H103" s="5">
        <f>COUNTIFS(Avaliação!$A$2:$A$877,$A103,Avaliação!$C$2:$C$877,$B103,Avaliação!$E$2:$E$877,"Inicial",Avaliação!$M$2:$M$877,1)</f>
        <v/>
      </c>
      <c r="I103" s="5">
        <f>COUNTIFS(Avaliação!$A$2:$A$877,$A103,Avaliação!$C$2:$C$877,$B103,Avaliação!$E$2:$E$877,"Gerenciado",Avaliação!$M$2:$M$877,1)</f>
        <v/>
      </c>
      <c r="J103" s="5">
        <f>COUNTIFS(Avaliação!$A$2:$A$877,$A103,Avaliação!$C$2:$C$877,$B103,Avaliação!$E$2:$E$877,"Melhoria Contínua",Avaliação!$M$2:$M$877,1)</f>
        <v/>
      </c>
      <c r="K103" s="5">
        <f>COUNTIFS(Avaliação!$A$2:$A$877,$A103,Avaliação!$C$2:$C$877,$B103,Avaliação!$E$2:$E$877,"Inicial",Avaliação!$N$2:$N$877,1)</f>
        <v/>
      </c>
      <c r="L103" s="5">
        <f>COUNTIFS(Avaliação!$A$2:$A$877,$A103,Avaliação!$C$2:$C$877,$B103,Avaliação!$E$2:$E$877,"Gerenciado",Avaliação!$N$2:$N$877,1)</f>
        <v/>
      </c>
      <c r="M103" s="5">
        <f>COUNTIFS(Avaliação!$A$2:$A$877,$A103,Avaliação!$C$2:$C$877,$B103,Avaliação!$E$2:$E$877,"Melhoria Contínua",Avaliação!$N$2:$N$877,1)</f>
        <v/>
      </c>
      <c r="N103" s="10">
        <f>IF(H103&lt;E103,v_ini*H103/E103,IF(I103&lt;F103,v_ini+(v_ger-v_ini)*I103/F103,IF(J103&lt;G103,v_ger+(v_mc-v_ger)*J103/G103,v_mc)))</f>
        <v/>
      </c>
      <c r="O103" s="10">
        <f>IF(K103&lt;E103,v_ini*K103/E103,IF(L103&lt;F103,v_ini+(v_ger-v_ini)*L103/F103,IF(M103&lt;G103,v_ger+(v_mc-v_ger)*M103/G103,v_mc)))</f>
        <v/>
      </c>
    </row>
    <row r="104">
      <c r="A104" s="5" t="inlineStr">
        <is>
          <t>ANCINE</t>
        </is>
      </c>
      <c r="B104" s="5" t="inlineStr">
        <is>
          <t>AIR_PRO</t>
        </is>
      </c>
      <c r="C104" s="5" t="n">
        <v>1</v>
      </c>
      <c r="D104" s="5" t="n">
        <v>0.35</v>
      </c>
      <c r="E104" s="5">
        <f>COUNTIFS(Condições!$C$2:$C$74,$B104,Condições!$E$2:$E$74,"Inicial")</f>
        <v/>
      </c>
      <c r="F104" s="5">
        <f>COUNTIFS(Condições!$C$2:$C$74,$B104,Condições!$E$2:$E$74,"Gerenciado")</f>
        <v/>
      </c>
      <c r="G104" s="5">
        <f>COUNTIFS(Condições!$C$2:$C$74,$B104,Condições!$E$2:$E$74,"Melhoria Contínua")</f>
        <v/>
      </c>
      <c r="H104" s="5">
        <f>COUNTIFS(Avaliação!$A$2:$A$877,$A104,Avaliação!$C$2:$C$877,$B104,Avaliação!$E$2:$E$877,"Inicial",Avaliação!$M$2:$M$877,1)</f>
        <v/>
      </c>
      <c r="I104" s="5">
        <f>COUNTIFS(Avaliação!$A$2:$A$877,$A104,Avaliação!$C$2:$C$877,$B104,Avaliação!$E$2:$E$877,"Gerenciado",Avaliação!$M$2:$M$877,1)</f>
        <v/>
      </c>
      <c r="J104" s="5">
        <f>COUNTIFS(Avaliação!$A$2:$A$877,$A104,Avaliação!$C$2:$C$877,$B104,Avaliação!$E$2:$E$877,"Melhoria Contínua",Avaliação!$M$2:$M$877,1)</f>
        <v/>
      </c>
      <c r="K104" s="5">
        <f>COUNTIFS(Avaliação!$A$2:$A$877,$A104,Avaliação!$C$2:$C$877,$B104,Avaliação!$E$2:$E$877,"Inicial",Avaliação!$N$2:$N$877,1)</f>
        <v/>
      </c>
      <c r="L104" s="5">
        <f>COUNTIFS(Avaliação!$A$2:$A$877,$A104,Avaliação!$C$2:$C$877,$B104,Avaliação!$E$2:$E$877,"Gerenciado",Avaliação!$N$2:$N$877,1)</f>
        <v/>
      </c>
      <c r="M104" s="5">
        <f>COUNTIFS(Avaliação!$A$2:$A$877,$A104,Avaliação!$C$2:$C$877,$B104,Avaliação!$E$2:$E$877,"Melhoria Contínua",Avaliação!$N$2:$N$877,1)</f>
        <v/>
      </c>
      <c r="N104" s="10">
        <f>IF(H104&lt;E104,v_ini*H104/E104,IF(I104&lt;F104,v_ini+(v_ger-v_ini)*I104/F104,IF(J104&lt;G104,v_ger+(v_mc-v_ger)*J104/G104,v_mc)))</f>
        <v/>
      </c>
      <c r="O104" s="10">
        <f>IF(K104&lt;E104,v_ini*K104/E104,IF(L104&lt;F104,v_ini+(v_ger-v_ini)*L104/F104,IF(M104&lt;G104,v_ger+(v_mc-v_ger)*M104/G104,v_mc)))</f>
        <v/>
      </c>
    </row>
    <row r="105">
      <c r="A105" s="5" t="inlineStr">
        <is>
          <t>ANCINE</t>
        </is>
      </c>
      <c r="B105" s="5" t="inlineStr">
        <is>
          <t>PS</t>
        </is>
      </c>
      <c r="C105" s="5" t="n">
        <v>2</v>
      </c>
      <c r="D105" s="5" t="n">
        <v>1</v>
      </c>
      <c r="E105" s="5">
        <f>COUNTIFS(Condições!$C$2:$C$74,$B105,Condições!$E$2:$E$74,"Inicial")</f>
        <v/>
      </c>
      <c r="F105" s="5">
        <f>COUNTIFS(Condições!$C$2:$C$74,$B105,Condições!$E$2:$E$74,"Gerenciado")</f>
        <v/>
      </c>
      <c r="G105" s="5">
        <f>COUNTIFS(Condições!$C$2:$C$74,$B105,Condições!$E$2:$E$74,"Melhoria Contínua")</f>
        <v/>
      </c>
      <c r="H105" s="5">
        <f>COUNTIFS(Avaliação!$A$2:$A$877,$A105,Avaliação!$C$2:$C$877,$B105,Avaliação!$E$2:$E$877,"Inicial",Avaliação!$M$2:$M$877,1)</f>
        <v/>
      </c>
      <c r="I105" s="5">
        <f>COUNTIFS(Avaliação!$A$2:$A$877,$A105,Avaliação!$C$2:$C$877,$B105,Avaliação!$E$2:$E$877,"Gerenciado",Avaliação!$M$2:$M$877,1)</f>
        <v/>
      </c>
      <c r="J105" s="5">
        <f>COUNTIFS(Avaliação!$A$2:$A$877,$A105,Avaliação!$C$2:$C$877,$B105,Avaliação!$E$2:$E$877,"Melhoria Contínua",Avaliação!$M$2:$M$877,1)</f>
        <v/>
      </c>
      <c r="K105" s="5">
        <f>COUNTIFS(Avaliação!$A$2:$A$877,$A105,Avaliação!$C$2:$C$877,$B105,Avaliação!$E$2:$E$877,"Inicial",Avaliação!$N$2:$N$877,1)</f>
        <v/>
      </c>
      <c r="L105" s="5">
        <f>COUNTIFS(Avaliação!$A$2:$A$877,$A105,Avaliação!$C$2:$C$877,$B105,Avaliação!$E$2:$E$877,"Gerenciado",Avaliação!$N$2:$N$877,1)</f>
        <v/>
      </c>
      <c r="M105" s="5">
        <f>COUNTIFS(Avaliação!$A$2:$A$877,$A105,Avaliação!$C$2:$C$877,$B105,Avaliação!$E$2:$E$877,"Melhoria Contínua",Avaliação!$N$2:$N$877,1)</f>
        <v/>
      </c>
      <c r="N105" s="10">
        <f>IF(H105&lt;E105,v_ini*H105/E105,IF(I105&lt;F105,v_ini+(v_ger-v_ini)*I105/F105,IF(J105&lt;G105,v_ger+(v_mc-v_ger)*J105/G105,v_mc)))</f>
        <v/>
      </c>
      <c r="O105" s="10">
        <f>IF(K105&lt;E105,v_ini*K105/E105,IF(L105&lt;F105,v_ini+(v_ger-v_ini)*L105/F105,IF(M105&lt;G105,v_ger+(v_mc-v_ger)*M105/G105,v_mc)))</f>
        <v/>
      </c>
    </row>
    <row r="106">
      <c r="A106" s="5" t="inlineStr">
        <is>
          <t>ANCINE</t>
        </is>
      </c>
      <c r="B106" s="5" t="inlineStr">
        <is>
          <t>EST</t>
        </is>
      </c>
      <c r="C106" s="5" t="n">
        <v>3</v>
      </c>
      <c r="D106" s="5" t="n">
        <v>1</v>
      </c>
      <c r="E106" s="5">
        <f>COUNTIFS(Condições!$C$2:$C$74,$B106,Condições!$E$2:$E$74,"Inicial")</f>
        <v/>
      </c>
      <c r="F106" s="5">
        <f>COUNTIFS(Condições!$C$2:$C$74,$B106,Condições!$E$2:$E$74,"Gerenciado")</f>
        <v/>
      </c>
      <c r="G106" s="5">
        <f>COUNTIFS(Condições!$C$2:$C$74,$B106,Condições!$E$2:$E$74,"Melhoria Contínua")</f>
        <v/>
      </c>
      <c r="H106" s="5">
        <f>COUNTIFS(Avaliação!$A$2:$A$877,$A106,Avaliação!$C$2:$C$877,$B106,Avaliação!$E$2:$E$877,"Inicial",Avaliação!$M$2:$M$877,1)</f>
        <v/>
      </c>
      <c r="I106" s="5">
        <f>COUNTIFS(Avaliação!$A$2:$A$877,$A106,Avaliação!$C$2:$C$877,$B106,Avaliação!$E$2:$E$877,"Gerenciado",Avaliação!$M$2:$M$877,1)</f>
        <v/>
      </c>
      <c r="J106" s="5">
        <f>COUNTIFS(Avaliação!$A$2:$A$877,$A106,Avaliação!$C$2:$C$877,$B106,Avaliação!$E$2:$E$877,"Melhoria Contínua",Avaliação!$M$2:$M$877,1)</f>
        <v/>
      </c>
      <c r="K106" s="5">
        <f>COUNTIFS(Avaliação!$A$2:$A$877,$A106,Avaliação!$C$2:$C$877,$B106,Avaliação!$E$2:$E$877,"Inicial",Avaliação!$N$2:$N$877,1)</f>
        <v/>
      </c>
      <c r="L106" s="5">
        <f>COUNTIFS(Avaliação!$A$2:$A$877,$A106,Avaliação!$C$2:$C$877,$B106,Avaliação!$E$2:$E$877,"Gerenciado",Avaliação!$N$2:$N$877,1)</f>
        <v/>
      </c>
      <c r="M106" s="5">
        <f>COUNTIFS(Avaliação!$A$2:$A$877,$A106,Avaliação!$C$2:$C$877,$B106,Avaliação!$E$2:$E$877,"Melhoria Contínua",Avaliação!$N$2:$N$877,1)</f>
        <v/>
      </c>
      <c r="N106" s="10">
        <f>IF(H106&lt;E106,v_ini*H106/E106,IF(I106&lt;F106,v_ini+(v_ger-v_ini)*I106/F106,IF(J106&lt;G106,v_ger+(v_mc-v_ger)*J106/G106,v_mc)))</f>
        <v/>
      </c>
      <c r="O106" s="10">
        <f>IF(K106&lt;E106,v_ini*K106/E106,IF(L106&lt;F106,v_ini+(v_ger-v_ini)*L106/F106,IF(M106&lt;G106,v_ger+(v_mc-v_ger)*M106/G106,v_mc)))</f>
        <v/>
      </c>
    </row>
    <row r="107">
      <c r="A107" s="5" t="inlineStr">
        <is>
          <t>ANCINE</t>
        </is>
      </c>
      <c r="B107" s="5" t="inlineStr">
        <is>
          <t>AGE</t>
        </is>
      </c>
      <c r="C107" s="5" t="n">
        <v>4</v>
      </c>
      <c r="D107" s="5" t="n">
        <v>1</v>
      </c>
      <c r="E107" s="5">
        <f>COUNTIFS(Condições!$C$2:$C$74,$B107,Condições!$E$2:$E$74,"Inicial")</f>
        <v/>
      </c>
      <c r="F107" s="5">
        <f>COUNTIFS(Condições!$C$2:$C$74,$B107,Condições!$E$2:$E$74,"Gerenciado")</f>
        <v/>
      </c>
      <c r="G107" s="5">
        <f>COUNTIFS(Condições!$C$2:$C$74,$B107,Condições!$E$2:$E$74,"Melhoria Contínua")</f>
        <v/>
      </c>
      <c r="H107" s="5">
        <f>COUNTIFS(Avaliação!$A$2:$A$877,$A107,Avaliação!$C$2:$C$877,$B107,Avaliação!$E$2:$E$877,"Inicial",Avaliação!$M$2:$M$877,1)</f>
        <v/>
      </c>
      <c r="I107" s="5">
        <f>COUNTIFS(Avaliação!$A$2:$A$877,$A107,Avaliação!$C$2:$C$877,$B107,Avaliação!$E$2:$E$877,"Gerenciado",Avaliação!$M$2:$M$877,1)</f>
        <v/>
      </c>
      <c r="J107" s="5">
        <f>COUNTIFS(Avaliação!$A$2:$A$877,$A107,Avaliação!$C$2:$C$877,$B107,Avaliação!$E$2:$E$877,"Melhoria Contínua",Avaliação!$M$2:$M$877,1)</f>
        <v/>
      </c>
      <c r="K107" s="5">
        <f>COUNTIFS(Avaliação!$A$2:$A$877,$A107,Avaliação!$C$2:$C$877,$B107,Avaliação!$E$2:$E$877,"Inicial",Avaliação!$N$2:$N$877,1)</f>
        <v/>
      </c>
      <c r="L107" s="5">
        <f>COUNTIFS(Avaliação!$A$2:$A$877,$A107,Avaliação!$C$2:$C$877,$B107,Avaliação!$E$2:$E$877,"Gerenciado",Avaliação!$N$2:$N$877,1)</f>
        <v/>
      </c>
      <c r="M107" s="5">
        <f>COUNTIFS(Avaliação!$A$2:$A$877,$A107,Avaliação!$C$2:$C$877,$B107,Avaliação!$E$2:$E$877,"Melhoria Contínua",Avaliação!$N$2:$N$877,1)</f>
        <v/>
      </c>
      <c r="N107" s="10">
        <f>IF(H107&lt;E107,v_ini*H107/E107,IF(I107&lt;F107,v_ini+(v_ger-v_ini)*I107/F107,IF(J107&lt;G107,v_ger+(v_mc-v_ger)*J107/G107,v_mc)))</f>
        <v/>
      </c>
      <c r="O107" s="10">
        <f>IF(K107&lt;E107,v_ini*K107/E107,IF(L107&lt;F107,v_ini+(v_ger-v_ini)*L107/F107,IF(M107&lt;G107,v_ger+(v_mc-v_ger)*M107/G107,v_mc)))</f>
        <v/>
      </c>
    </row>
    <row r="108">
      <c r="A108" s="5" t="inlineStr">
        <is>
          <t>ANCINE</t>
        </is>
      </c>
      <c r="B108" s="5" t="inlineStr">
        <is>
          <t>PRO</t>
        </is>
      </c>
      <c r="C108" s="5" t="n">
        <v>5</v>
      </c>
      <c r="D108" s="5" t="n">
        <v>1</v>
      </c>
      <c r="E108" s="5">
        <f>COUNTIFS(Condições!$C$2:$C$74,$B108,Condições!$E$2:$E$74,"Inicial")</f>
        <v/>
      </c>
      <c r="F108" s="5">
        <f>COUNTIFS(Condições!$C$2:$C$74,$B108,Condições!$E$2:$E$74,"Gerenciado")</f>
        <v/>
      </c>
      <c r="G108" s="5">
        <f>COUNTIFS(Condições!$C$2:$C$74,$B108,Condições!$E$2:$E$74,"Melhoria Contínua")</f>
        <v/>
      </c>
      <c r="H108" s="5">
        <f>COUNTIFS(Avaliação!$A$2:$A$877,$A108,Avaliação!$C$2:$C$877,$B108,Avaliação!$E$2:$E$877,"Inicial",Avaliação!$M$2:$M$877,1)</f>
        <v/>
      </c>
      <c r="I108" s="5">
        <f>COUNTIFS(Avaliação!$A$2:$A$877,$A108,Avaliação!$C$2:$C$877,$B108,Avaliação!$E$2:$E$877,"Gerenciado",Avaliação!$M$2:$M$877,1)</f>
        <v/>
      </c>
      <c r="J108" s="5">
        <f>COUNTIFS(Avaliação!$A$2:$A$877,$A108,Avaliação!$C$2:$C$877,$B108,Avaliação!$E$2:$E$877,"Melhoria Contínua",Avaliação!$M$2:$M$877,1)</f>
        <v/>
      </c>
      <c r="K108" s="5">
        <f>COUNTIFS(Avaliação!$A$2:$A$877,$A108,Avaliação!$C$2:$C$877,$B108,Avaliação!$E$2:$E$877,"Inicial",Avaliação!$N$2:$N$877,1)</f>
        <v/>
      </c>
      <c r="L108" s="5">
        <f>COUNTIFS(Avaliação!$A$2:$A$877,$A108,Avaliação!$C$2:$C$877,$B108,Avaliação!$E$2:$E$877,"Gerenciado",Avaliação!$N$2:$N$877,1)</f>
        <v/>
      </c>
      <c r="M108" s="5">
        <f>COUNTIFS(Avaliação!$A$2:$A$877,$A108,Avaliação!$C$2:$C$877,$B108,Avaliação!$E$2:$E$877,"Melhoria Contínua",Avaliação!$N$2:$N$877,1)</f>
        <v/>
      </c>
      <c r="N108" s="10">
        <f>IF(H108&lt;E108,v_ini*H108/E108,IF(I108&lt;F108,v_ini+(v_ger-v_ini)*I108/F108,IF(J108&lt;G108,v_ger+(v_mc-v_ger)*J108/G108,v_mc)))</f>
        <v/>
      </c>
      <c r="O108" s="10">
        <f>IF(K108&lt;E108,v_ini*K108/E108,IF(L108&lt;F108,v_ini+(v_ger-v_ini)*L108/F108,IF(M108&lt;G108,v_ger+(v_mc-v_ger)*M108/G108,v_mc)))</f>
        <v/>
      </c>
    </row>
    <row r="109">
      <c r="A109" s="5" t="inlineStr">
        <is>
          <t>ANCINE</t>
        </is>
      </c>
      <c r="B109" s="5" t="inlineStr">
        <is>
          <t>ARR_CAP</t>
        </is>
      </c>
      <c r="C109" s="5" t="n">
        <v>6</v>
      </c>
      <c r="D109" s="5" t="n">
        <v>0.3</v>
      </c>
      <c r="E109" s="5">
        <f>COUNTIFS(Condições!$C$2:$C$74,$B109,Condições!$E$2:$E$74,"Inicial")</f>
        <v/>
      </c>
      <c r="F109" s="5">
        <f>COUNTIFS(Condições!$C$2:$C$74,$B109,Condições!$E$2:$E$74,"Gerenciado")</f>
        <v/>
      </c>
      <c r="G109" s="5">
        <f>COUNTIFS(Condições!$C$2:$C$74,$B109,Condições!$E$2:$E$74,"Melhoria Contínua")</f>
        <v/>
      </c>
      <c r="H109" s="5">
        <f>COUNTIFS(Avaliação!$A$2:$A$877,$A109,Avaliação!$C$2:$C$877,$B109,Avaliação!$E$2:$E$877,"Inicial",Avaliação!$M$2:$M$877,1)</f>
        <v/>
      </c>
      <c r="I109" s="5">
        <f>COUNTIFS(Avaliação!$A$2:$A$877,$A109,Avaliação!$C$2:$C$877,$B109,Avaliação!$E$2:$E$877,"Gerenciado",Avaliação!$M$2:$M$877,1)</f>
        <v/>
      </c>
      <c r="J109" s="5">
        <f>COUNTIFS(Avaliação!$A$2:$A$877,$A109,Avaliação!$C$2:$C$877,$B109,Avaliação!$E$2:$E$877,"Melhoria Contínua",Avaliação!$M$2:$M$877,1)</f>
        <v/>
      </c>
      <c r="K109" s="5">
        <f>COUNTIFS(Avaliação!$A$2:$A$877,$A109,Avaliação!$C$2:$C$877,$B109,Avaliação!$E$2:$E$877,"Inicial",Avaliação!$N$2:$N$877,1)</f>
        <v/>
      </c>
      <c r="L109" s="5">
        <f>COUNTIFS(Avaliação!$A$2:$A$877,$A109,Avaliação!$C$2:$C$877,$B109,Avaliação!$E$2:$E$877,"Gerenciado",Avaliação!$N$2:$N$877,1)</f>
        <v/>
      </c>
      <c r="M109" s="5">
        <f>COUNTIFS(Avaliação!$A$2:$A$877,$A109,Avaliação!$C$2:$C$877,$B109,Avaliação!$E$2:$E$877,"Melhoria Contínua",Avaliação!$N$2:$N$877,1)</f>
        <v/>
      </c>
      <c r="N109" s="10">
        <f>IF(H109&lt;E109,v_ini*H109/E109,IF(I109&lt;F109,v_ini+(v_ger-v_ini)*I109/F109,IF(J109&lt;G109,v_ger+(v_mc-v_ger)*J109/G109,v_mc)))</f>
        <v/>
      </c>
      <c r="O109" s="10">
        <f>IF(K109&lt;E109,v_ini*K109/E109,IF(L109&lt;F109,v_ini+(v_ger-v_ini)*L109/F109,IF(M109&lt;G109,v_ger+(v_mc-v_ger)*M109/G109,v_mc)))</f>
        <v/>
      </c>
    </row>
    <row r="110">
      <c r="A110" s="5" t="inlineStr">
        <is>
          <t>ANCINE</t>
        </is>
      </c>
      <c r="B110" s="5" t="inlineStr">
        <is>
          <t>ARR_MET</t>
        </is>
      </c>
      <c r="C110" s="5" t="n">
        <v>6</v>
      </c>
      <c r="D110" s="5" t="n">
        <v>0.35</v>
      </c>
      <c r="E110" s="5">
        <f>COUNTIFS(Condições!$C$2:$C$74,$B110,Condições!$E$2:$E$74,"Inicial")</f>
        <v/>
      </c>
      <c r="F110" s="5">
        <f>COUNTIFS(Condições!$C$2:$C$74,$B110,Condições!$E$2:$E$74,"Gerenciado")</f>
        <v/>
      </c>
      <c r="G110" s="5">
        <f>COUNTIFS(Condições!$C$2:$C$74,$B110,Condições!$E$2:$E$74,"Melhoria Contínua")</f>
        <v/>
      </c>
      <c r="H110" s="5">
        <f>COUNTIFS(Avaliação!$A$2:$A$877,$A110,Avaliação!$C$2:$C$877,$B110,Avaliação!$E$2:$E$877,"Inicial",Avaliação!$M$2:$M$877,1)</f>
        <v/>
      </c>
      <c r="I110" s="5">
        <f>COUNTIFS(Avaliação!$A$2:$A$877,$A110,Avaliação!$C$2:$C$877,$B110,Avaliação!$E$2:$E$877,"Gerenciado",Avaliação!$M$2:$M$877,1)</f>
        <v/>
      </c>
      <c r="J110" s="5">
        <f>COUNTIFS(Avaliação!$A$2:$A$877,$A110,Avaliação!$C$2:$C$877,$B110,Avaliação!$E$2:$E$877,"Melhoria Contínua",Avaliação!$M$2:$M$877,1)</f>
        <v/>
      </c>
      <c r="K110" s="5">
        <f>COUNTIFS(Avaliação!$A$2:$A$877,$A110,Avaliação!$C$2:$C$877,$B110,Avaliação!$E$2:$E$877,"Inicial",Avaliação!$N$2:$N$877,1)</f>
        <v/>
      </c>
      <c r="L110" s="5">
        <f>COUNTIFS(Avaliação!$A$2:$A$877,$A110,Avaliação!$C$2:$C$877,$B110,Avaliação!$E$2:$E$877,"Gerenciado",Avaliação!$N$2:$N$877,1)</f>
        <v/>
      </c>
      <c r="M110" s="5">
        <f>COUNTIFS(Avaliação!$A$2:$A$877,$A110,Avaliação!$C$2:$C$877,$B110,Avaliação!$E$2:$E$877,"Melhoria Contínua",Avaliação!$N$2:$N$877,1)</f>
        <v/>
      </c>
      <c r="N110" s="10">
        <f>IF(H110&lt;E110,v_ini*H110/E110,IF(I110&lt;F110,v_ini+(v_ger-v_ini)*I110/F110,IF(J110&lt;G110,v_ger+(v_mc-v_ger)*J110/G110,v_mc)))</f>
        <v/>
      </c>
      <c r="O110" s="10">
        <f>IF(K110&lt;E110,v_ini*K110/E110,IF(L110&lt;F110,v_ini+(v_ger-v_ini)*L110/F110,IF(M110&lt;G110,v_ger+(v_mc-v_ger)*M110/G110,v_mc)))</f>
        <v/>
      </c>
    </row>
    <row r="111">
      <c r="A111" s="5" t="inlineStr">
        <is>
          <t>ANCINE</t>
        </is>
      </c>
      <c r="B111" s="5" t="inlineStr">
        <is>
          <t>ARR_PRO</t>
        </is>
      </c>
      <c r="C111" s="5" t="n">
        <v>6</v>
      </c>
      <c r="D111" s="5" t="n">
        <v>0.35</v>
      </c>
      <c r="E111" s="5">
        <f>COUNTIFS(Condições!$C$2:$C$74,$B111,Condições!$E$2:$E$74,"Inicial")</f>
        <v/>
      </c>
      <c r="F111" s="5">
        <f>COUNTIFS(Condições!$C$2:$C$74,$B111,Condições!$E$2:$E$74,"Gerenciado")</f>
        <v/>
      </c>
      <c r="G111" s="5">
        <f>COUNTIFS(Condições!$C$2:$C$74,$B111,Condições!$E$2:$E$74,"Melhoria Contínua")</f>
        <v/>
      </c>
      <c r="H111" s="5">
        <f>COUNTIFS(Avaliação!$A$2:$A$877,$A111,Avaliação!$C$2:$C$877,$B111,Avaliação!$E$2:$E$877,"Inicial",Avaliação!$M$2:$M$877,1)</f>
        <v/>
      </c>
      <c r="I111" s="5">
        <f>COUNTIFS(Avaliação!$A$2:$A$877,$A111,Avaliação!$C$2:$C$877,$B111,Avaliação!$E$2:$E$877,"Gerenciado",Avaliação!$M$2:$M$877,1)</f>
        <v/>
      </c>
      <c r="J111" s="5">
        <f>COUNTIFS(Avaliação!$A$2:$A$877,$A111,Avaliação!$C$2:$C$877,$B111,Avaliação!$E$2:$E$877,"Melhoria Contínua",Avaliação!$M$2:$M$877,1)</f>
        <v/>
      </c>
      <c r="K111" s="5">
        <f>COUNTIFS(Avaliação!$A$2:$A$877,$A111,Avaliação!$C$2:$C$877,$B111,Avaliação!$E$2:$E$877,"Inicial",Avaliação!$N$2:$N$877,1)</f>
        <v/>
      </c>
      <c r="L111" s="5">
        <f>COUNTIFS(Avaliação!$A$2:$A$877,$A111,Avaliação!$C$2:$C$877,$B111,Avaliação!$E$2:$E$877,"Gerenciado",Avaliação!$N$2:$N$877,1)</f>
        <v/>
      </c>
      <c r="M111" s="5">
        <f>COUNTIFS(Avaliação!$A$2:$A$877,$A111,Avaliação!$C$2:$C$877,$B111,Avaliação!$E$2:$E$877,"Melhoria Contínua",Avaliação!$N$2:$N$877,1)</f>
        <v/>
      </c>
      <c r="N111" s="10">
        <f>IF(H111&lt;E111,v_ini*H111/E111,IF(I111&lt;F111,v_ini+(v_ger-v_ini)*I111/F111,IF(J111&lt;G111,v_ger+(v_mc-v_ger)*J111/G111,v_mc)))</f>
        <v/>
      </c>
      <c r="O111" s="10">
        <f>IF(K111&lt;E111,v_ini*K111/E111,IF(L111&lt;F111,v_ini+(v_ger-v_ini)*L111/F111,IF(M111&lt;G111,v_ger+(v_mc-v_ger)*M111/G111,v_mc)))</f>
        <v/>
      </c>
    </row>
    <row r="112">
      <c r="A112" s="5" t="inlineStr">
        <is>
          <t>ANPD</t>
        </is>
      </c>
      <c r="B112" s="5" t="inlineStr">
        <is>
          <t>AIR_CAP</t>
        </is>
      </c>
      <c r="C112" s="5" t="n">
        <v>1</v>
      </c>
      <c r="D112" s="5" t="n">
        <v>0.3</v>
      </c>
      <c r="E112" s="5">
        <f>COUNTIFS(Condições!$C$2:$C$74,$B112,Condições!$E$2:$E$74,"Inicial")</f>
        <v/>
      </c>
      <c r="F112" s="5">
        <f>COUNTIFS(Condições!$C$2:$C$74,$B112,Condições!$E$2:$E$74,"Gerenciado")</f>
        <v/>
      </c>
      <c r="G112" s="5">
        <f>COUNTIFS(Condições!$C$2:$C$74,$B112,Condições!$E$2:$E$74,"Melhoria Contínua")</f>
        <v/>
      </c>
      <c r="H112" s="5">
        <f>COUNTIFS(Avaliação!$A$2:$A$877,$A112,Avaliação!$C$2:$C$877,$B112,Avaliação!$E$2:$E$877,"Inicial",Avaliação!$M$2:$M$877,1)</f>
        <v/>
      </c>
      <c r="I112" s="5">
        <f>COUNTIFS(Avaliação!$A$2:$A$877,$A112,Avaliação!$C$2:$C$877,$B112,Avaliação!$E$2:$E$877,"Gerenciado",Avaliação!$M$2:$M$877,1)</f>
        <v/>
      </c>
      <c r="J112" s="5">
        <f>COUNTIFS(Avaliação!$A$2:$A$877,$A112,Avaliação!$C$2:$C$877,$B112,Avaliação!$E$2:$E$877,"Melhoria Contínua",Avaliação!$M$2:$M$877,1)</f>
        <v/>
      </c>
      <c r="K112" s="5">
        <f>COUNTIFS(Avaliação!$A$2:$A$877,$A112,Avaliação!$C$2:$C$877,$B112,Avaliação!$E$2:$E$877,"Inicial",Avaliação!$N$2:$N$877,1)</f>
        <v/>
      </c>
      <c r="L112" s="5">
        <f>COUNTIFS(Avaliação!$A$2:$A$877,$A112,Avaliação!$C$2:$C$877,$B112,Avaliação!$E$2:$E$877,"Gerenciado",Avaliação!$N$2:$N$877,1)</f>
        <v/>
      </c>
      <c r="M112" s="5">
        <f>COUNTIFS(Avaliação!$A$2:$A$877,$A112,Avaliação!$C$2:$C$877,$B112,Avaliação!$E$2:$E$877,"Melhoria Contínua",Avaliação!$N$2:$N$877,1)</f>
        <v/>
      </c>
      <c r="N112" s="10">
        <f>IF(H112&lt;E112,v_ini*H112/E112,IF(I112&lt;F112,v_ini+(v_ger-v_ini)*I112/F112,IF(J112&lt;G112,v_ger+(v_mc-v_ger)*J112/G112,v_mc)))</f>
        <v/>
      </c>
      <c r="O112" s="10">
        <f>IF(K112&lt;E112,v_ini*K112/E112,IF(L112&lt;F112,v_ini+(v_ger-v_ini)*L112/F112,IF(M112&lt;G112,v_ger+(v_mc-v_ger)*M112/G112,v_mc)))</f>
        <v/>
      </c>
    </row>
    <row r="113">
      <c r="A113" s="5" t="inlineStr">
        <is>
          <t>ANPD</t>
        </is>
      </c>
      <c r="B113" s="5" t="inlineStr">
        <is>
          <t>AIR_MET</t>
        </is>
      </c>
      <c r="C113" s="5" t="n">
        <v>1</v>
      </c>
      <c r="D113" s="5" t="n">
        <v>0.35</v>
      </c>
      <c r="E113" s="5">
        <f>COUNTIFS(Condições!$C$2:$C$74,$B113,Condições!$E$2:$E$74,"Inicial")</f>
        <v/>
      </c>
      <c r="F113" s="5">
        <f>COUNTIFS(Condições!$C$2:$C$74,$B113,Condições!$E$2:$E$74,"Gerenciado")</f>
        <v/>
      </c>
      <c r="G113" s="5">
        <f>COUNTIFS(Condições!$C$2:$C$74,$B113,Condições!$E$2:$E$74,"Melhoria Contínua")</f>
        <v/>
      </c>
      <c r="H113" s="5">
        <f>COUNTIFS(Avaliação!$A$2:$A$877,$A113,Avaliação!$C$2:$C$877,$B113,Avaliação!$E$2:$E$877,"Inicial",Avaliação!$M$2:$M$877,1)</f>
        <v/>
      </c>
      <c r="I113" s="5">
        <f>COUNTIFS(Avaliação!$A$2:$A$877,$A113,Avaliação!$C$2:$C$877,$B113,Avaliação!$E$2:$E$877,"Gerenciado",Avaliação!$M$2:$M$877,1)</f>
        <v/>
      </c>
      <c r="J113" s="5">
        <f>COUNTIFS(Avaliação!$A$2:$A$877,$A113,Avaliação!$C$2:$C$877,$B113,Avaliação!$E$2:$E$877,"Melhoria Contínua",Avaliação!$M$2:$M$877,1)</f>
        <v/>
      </c>
      <c r="K113" s="5">
        <f>COUNTIFS(Avaliação!$A$2:$A$877,$A113,Avaliação!$C$2:$C$877,$B113,Avaliação!$E$2:$E$877,"Inicial",Avaliação!$N$2:$N$877,1)</f>
        <v/>
      </c>
      <c r="L113" s="5">
        <f>COUNTIFS(Avaliação!$A$2:$A$877,$A113,Avaliação!$C$2:$C$877,$B113,Avaliação!$E$2:$E$877,"Gerenciado",Avaliação!$N$2:$N$877,1)</f>
        <v/>
      </c>
      <c r="M113" s="5">
        <f>COUNTIFS(Avaliação!$A$2:$A$877,$A113,Avaliação!$C$2:$C$877,$B113,Avaliação!$E$2:$E$877,"Melhoria Contínua",Avaliação!$N$2:$N$877,1)</f>
        <v/>
      </c>
      <c r="N113" s="10">
        <f>IF(H113&lt;E113,v_ini*H113/E113,IF(I113&lt;F113,v_ini+(v_ger-v_ini)*I113/F113,IF(J113&lt;G113,v_ger+(v_mc-v_ger)*J113/G113,v_mc)))</f>
        <v/>
      </c>
      <c r="O113" s="10">
        <f>IF(K113&lt;E113,v_ini*K113/E113,IF(L113&lt;F113,v_ini+(v_ger-v_ini)*L113/F113,IF(M113&lt;G113,v_ger+(v_mc-v_ger)*M113/G113,v_mc)))</f>
        <v/>
      </c>
    </row>
    <row r="114">
      <c r="A114" s="5" t="inlineStr">
        <is>
          <t>ANPD</t>
        </is>
      </c>
      <c r="B114" s="5" t="inlineStr">
        <is>
          <t>AIR_PRO</t>
        </is>
      </c>
      <c r="C114" s="5" t="n">
        <v>1</v>
      </c>
      <c r="D114" s="5" t="n">
        <v>0.35</v>
      </c>
      <c r="E114" s="5">
        <f>COUNTIFS(Condições!$C$2:$C$74,$B114,Condições!$E$2:$E$74,"Inicial")</f>
        <v/>
      </c>
      <c r="F114" s="5">
        <f>COUNTIFS(Condições!$C$2:$C$74,$B114,Condições!$E$2:$E$74,"Gerenciado")</f>
        <v/>
      </c>
      <c r="G114" s="5">
        <f>COUNTIFS(Condições!$C$2:$C$74,$B114,Condições!$E$2:$E$74,"Melhoria Contínua")</f>
        <v/>
      </c>
      <c r="H114" s="5">
        <f>COUNTIFS(Avaliação!$A$2:$A$877,$A114,Avaliação!$C$2:$C$877,$B114,Avaliação!$E$2:$E$877,"Inicial",Avaliação!$M$2:$M$877,1)</f>
        <v/>
      </c>
      <c r="I114" s="5">
        <f>COUNTIFS(Avaliação!$A$2:$A$877,$A114,Avaliação!$C$2:$C$877,$B114,Avaliação!$E$2:$E$877,"Gerenciado",Avaliação!$M$2:$M$877,1)</f>
        <v/>
      </c>
      <c r="J114" s="5">
        <f>COUNTIFS(Avaliação!$A$2:$A$877,$A114,Avaliação!$C$2:$C$877,$B114,Avaliação!$E$2:$E$877,"Melhoria Contínua",Avaliação!$M$2:$M$877,1)</f>
        <v/>
      </c>
      <c r="K114" s="5">
        <f>COUNTIFS(Avaliação!$A$2:$A$877,$A114,Avaliação!$C$2:$C$877,$B114,Avaliação!$E$2:$E$877,"Inicial",Avaliação!$N$2:$N$877,1)</f>
        <v/>
      </c>
      <c r="L114" s="5">
        <f>COUNTIFS(Avaliação!$A$2:$A$877,$A114,Avaliação!$C$2:$C$877,$B114,Avaliação!$E$2:$E$877,"Gerenciado",Avaliação!$N$2:$N$877,1)</f>
        <v/>
      </c>
      <c r="M114" s="5">
        <f>COUNTIFS(Avaliação!$A$2:$A$877,$A114,Avaliação!$C$2:$C$877,$B114,Avaliação!$E$2:$E$877,"Melhoria Contínua",Avaliação!$N$2:$N$877,1)</f>
        <v/>
      </c>
      <c r="N114" s="10">
        <f>IF(H114&lt;E114,v_ini*H114/E114,IF(I114&lt;F114,v_ini+(v_ger-v_ini)*I114/F114,IF(J114&lt;G114,v_ger+(v_mc-v_ger)*J114/G114,v_mc)))</f>
        <v/>
      </c>
      <c r="O114" s="10">
        <f>IF(K114&lt;E114,v_ini*K114/E114,IF(L114&lt;F114,v_ini+(v_ger-v_ini)*L114/F114,IF(M114&lt;G114,v_ger+(v_mc-v_ger)*M114/G114,v_mc)))</f>
        <v/>
      </c>
    </row>
    <row r="115">
      <c r="A115" s="5" t="inlineStr">
        <is>
          <t>ANPD</t>
        </is>
      </c>
      <c r="B115" s="5" t="inlineStr">
        <is>
          <t>PS</t>
        </is>
      </c>
      <c r="C115" s="5" t="n">
        <v>2</v>
      </c>
      <c r="D115" s="5" t="n">
        <v>1</v>
      </c>
      <c r="E115" s="5">
        <f>COUNTIFS(Condições!$C$2:$C$74,$B115,Condições!$E$2:$E$74,"Inicial")</f>
        <v/>
      </c>
      <c r="F115" s="5">
        <f>COUNTIFS(Condições!$C$2:$C$74,$B115,Condições!$E$2:$E$74,"Gerenciado")</f>
        <v/>
      </c>
      <c r="G115" s="5">
        <f>COUNTIFS(Condições!$C$2:$C$74,$B115,Condições!$E$2:$E$74,"Melhoria Contínua")</f>
        <v/>
      </c>
      <c r="H115" s="5">
        <f>COUNTIFS(Avaliação!$A$2:$A$877,$A115,Avaliação!$C$2:$C$877,$B115,Avaliação!$E$2:$E$877,"Inicial",Avaliação!$M$2:$M$877,1)</f>
        <v/>
      </c>
      <c r="I115" s="5">
        <f>COUNTIFS(Avaliação!$A$2:$A$877,$A115,Avaliação!$C$2:$C$877,$B115,Avaliação!$E$2:$E$877,"Gerenciado",Avaliação!$M$2:$M$877,1)</f>
        <v/>
      </c>
      <c r="J115" s="5">
        <f>COUNTIFS(Avaliação!$A$2:$A$877,$A115,Avaliação!$C$2:$C$877,$B115,Avaliação!$E$2:$E$877,"Melhoria Contínua",Avaliação!$M$2:$M$877,1)</f>
        <v/>
      </c>
      <c r="K115" s="5">
        <f>COUNTIFS(Avaliação!$A$2:$A$877,$A115,Avaliação!$C$2:$C$877,$B115,Avaliação!$E$2:$E$877,"Inicial",Avaliação!$N$2:$N$877,1)</f>
        <v/>
      </c>
      <c r="L115" s="5">
        <f>COUNTIFS(Avaliação!$A$2:$A$877,$A115,Avaliação!$C$2:$C$877,$B115,Avaliação!$E$2:$E$877,"Gerenciado",Avaliação!$N$2:$N$877,1)</f>
        <v/>
      </c>
      <c r="M115" s="5">
        <f>COUNTIFS(Avaliação!$A$2:$A$877,$A115,Avaliação!$C$2:$C$877,$B115,Avaliação!$E$2:$E$877,"Melhoria Contínua",Avaliação!$N$2:$N$877,1)</f>
        <v/>
      </c>
      <c r="N115" s="10">
        <f>IF(H115&lt;E115,v_ini*H115/E115,IF(I115&lt;F115,v_ini+(v_ger-v_ini)*I115/F115,IF(J115&lt;G115,v_ger+(v_mc-v_ger)*J115/G115,v_mc)))</f>
        <v/>
      </c>
      <c r="O115" s="10">
        <f>IF(K115&lt;E115,v_ini*K115/E115,IF(L115&lt;F115,v_ini+(v_ger-v_ini)*L115/F115,IF(M115&lt;G115,v_ger+(v_mc-v_ger)*M115/G115,v_mc)))</f>
        <v/>
      </c>
    </row>
    <row r="116">
      <c r="A116" s="5" t="inlineStr">
        <is>
          <t>ANPD</t>
        </is>
      </c>
      <c r="B116" s="5" t="inlineStr">
        <is>
          <t>EST</t>
        </is>
      </c>
      <c r="C116" s="5" t="n">
        <v>3</v>
      </c>
      <c r="D116" s="5" t="n">
        <v>1</v>
      </c>
      <c r="E116" s="5">
        <f>COUNTIFS(Condições!$C$2:$C$74,$B116,Condições!$E$2:$E$74,"Inicial")</f>
        <v/>
      </c>
      <c r="F116" s="5">
        <f>COUNTIFS(Condições!$C$2:$C$74,$B116,Condições!$E$2:$E$74,"Gerenciado")</f>
        <v/>
      </c>
      <c r="G116" s="5">
        <f>COUNTIFS(Condições!$C$2:$C$74,$B116,Condições!$E$2:$E$74,"Melhoria Contínua")</f>
        <v/>
      </c>
      <c r="H116" s="5">
        <f>COUNTIFS(Avaliação!$A$2:$A$877,$A116,Avaliação!$C$2:$C$877,$B116,Avaliação!$E$2:$E$877,"Inicial",Avaliação!$M$2:$M$877,1)</f>
        <v/>
      </c>
      <c r="I116" s="5">
        <f>COUNTIFS(Avaliação!$A$2:$A$877,$A116,Avaliação!$C$2:$C$877,$B116,Avaliação!$E$2:$E$877,"Gerenciado",Avaliação!$M$2:$M$877,1)</f>
        <v/>
      </c>
      <c r="J116" s="5">
        <f>COUNTIFS(Avaliação!$A$2:$A$877,$A116,Avaliação!$C$2:$C$877,$B116,Avaliação!$E$2:$E$877,"Melhoria Contínua",Avaliação!$M$2:$M$877,1)</f>
        <v/>
      </c>
      <c r="K116" s="5">
        <f>COUNTIFS(Avaliação!$A$2:$A$877,$A116,Avaliação!$C$2:$C$877,$B116,Avaliação!$E$2:$E$877,"Inicial",Avaliação!$N$2:$N$877,1)</f>
        <v/>
      </c>
      <c r="L116" s="5">
        <f>COUNTIFS(Avaliação!$A$2:$A$877,$A116,Avaliação!$C$2:$C$877,$B116,Avaliação!$E$2:$E$877,"Gerenciado",Avaliação!$N$2:$N$877,1)</f>
        <v/>
      </c>
      <c r="M116" s="5">
        <f>COUNTIFS(Avaliação!$A$2:$A$877,$A116,Avaliação!$C$2:$C$877,$B116,Avaliação!$E$2:$E$877,"Melhoria Contínua",Avaliação!$N$2:$N$877,1)</f>
        <v/>
      </c>
      <c r="N116" s="10">
        <f>IF(H116&lt;E116,v_ini*H116/E116,IF(I116&lt;F116,v_ini+(v_ger-v_ini)*I116/F116,IF(J116&lt;G116,v_ger+(v_mc-v_ger)*J116/G116,v_mc)))</f>
        <v/>
      </c>
      <c r="O116" s="10">
        <f>IF(K116&lt;E116,v_ini*K116/E116,IF(L116&lt;F116,v_ini+(v_ger-v_ini)*L116/F116,IF(M116&lt;G116,v_ger+(v_mc-v_ger)*M116/G116,v_mc)))</f>
        <v/>
      </c>
    </row>
    <row r="117">
      <c r="A117" s="5" t="inlineStr">
        <is>
          <t>ANPD</t>
        </is>
      </c>
      <c r="B117" s="5" t="inlineStr">
        <is>
          <t>AGE</t>
        </is>
      </c>
      <c r="C117" s="5" t="n">
        <v>4</v>
      </c>
      <c r="D117" s="5" t="n">
        <v>1</v>
      </c>
      <c r="E117" s="5">
        <f>COUNTIFS(Condições!$C$2:$C$74,$B117,Condições!$E$2:$E$74,"Inicial")</f>
        <v/>
      </c>
      <c r="F117" s="5">
        <f>COUNTIFS(Condições!$C$2:$C$74,$B117,Condições!$E$2:$E$74,"Gerenciado")</f>
        <v/>
      </c>
      <c r="G117" s="5">
        <f>COUNTIFS(Condições!$C$2:$C$74,$B117,Condições!$E$2:$E$74,"Melhoria Contínua")</f>
        <v/>
      </c>
      <c r="H117" s="5">
        <f>COUNTIFS(Avaliação!$A$2:$A$877,$A117,Avaliação!$C$2:$C$877,$B117,Avaliação!$E$2:$E$877,"Inicial",Avaliação!$M$2:$M$877,1)</f>
        <v/>
      </c>
      <c r="I117" s="5">
        <f>COUNTIFS(Avaliação!$A$2:$A$877,$A117,Avaliação!$C$2:$C$877,$B117,Avaliação!$E$2:$E$877,"Gerenciado",Avaliação!$M$2:$M$877,1)</f>
        <v/>
      </c>
      <c r="J117" s="5">
        <f>COUNTIFS(Avaliação!$A$2:$A$877,$A117,Avaliação!$C$2:$C$877,$B117,Avaliação!$E$2:$E$877,"Melhoria Contínua",Avaliação!$M$2:$M$877,1)</f>
        <v/>
      </c>
      <c r="K117" s="5">
        <f>COUNTIFS(Avaliação!$A$2:$A$877,$A117,Avaliação!$C$2:$C$877,$B117,Avaliação!$E$2:$E$877,"Inicial",Avaliação!$N$2:$N$877,1)</f>
        <v/>
      </c>
      <c r="L117" s="5">
        <f>COUNTIFS(Avaliação!$A$2:$A$877,$A117,Avaliação!$C$2:$C$877,$B117,Avaliação!$E$2:$E$877,"Gerenciado",Avaliação!$N$2:$N$877,1)</f>
        <v/>
      </c>
      <c r="M117" s="5">
        <f>COUNTIFS(Avaliação!$A$2:$A$877,$A117,Avaliação!$C$2:$C$877,$B117,Avaliação!$E$2:$E$877,"Melhoria Contínua",Avaliação!$N$2:$N$877,1)</f>
        <v/>
      </c>
      <c r="N117" s="10">
        <f>IF(H117&lt;E117,v_ini*H117/E117,IF(I117&lt;F117,v_ini+(v_ger-v_ini)*I117/F117,IF(J117&lt;G117,v_ger+(v_mc-v_ger)*J117/G117,v_mc)))</f>
        <v/>
      </c>
      <c r="O117" s="10">
        <f>IF(K117&lt;E117,v_ini*K117/E117,IF(L117&lt;F117,v_ini+(v_ger-v_ini)*L117/F117,IF(M117&lt;G117,v_ger+(v_mc-v_ger)*M117/G117,v_mc)))</f>
        <v/>
      </c>
    </row>
    <row r="118">
      <c r="A118" s="5" t="inlineStr">
        <is>
          <t>ANPD</t>
        </is>
      </c>
      <c r="B118" s="5" t="inlineStr">
        <is>
          <t>PRO</t>
        </is>
      </c>
      <c r="C118" s="5" t="n">
        <v>5</v>
      </c>
      <c r="D118" s="5" t="n">
        <v>1</v>
      </c>
      <c r="E118" s="5">
        <f>COUNTIFS(Condições!$C$2:$C$74,$B118,Condições!$E$2:$E$74,"Inicial")</f>
        <v/>
      </c>
      <c r="F118" s="5">
        <f>COUNTIFS(Condições!$C$2:$C$74,$B118,Condições!$E$2:$E$74,"Gerenciado")</f>
        <v/>
      </c>
      <c r="G118" s="5">
        <f>COUNTIFS(Condições!$C$2:$C$74,$B118,Condições!$E$2:$E$74,"Melhoria Contínua")</f>
        <v/>
      </c>
      <c r="H118" s="5">
        <f>COUNTIFS(Avaliação!$A$2:$A$877,$A118,Avaliação!$C$2:$C$877,$B118,Avaliação!$E$2:$E$877,"Inicial",Avaliação!$M$2:$M$877,1)</f>
        <v/>
      </c>
      <c r="I118" s="5">
        <f>COUNTIFS(Avaliação!$A$2:$A$877,$A118,Avaliação!$C$2:$C$877,$B118,Avaliação!$E$2:$E$877,"Gerenciado",Avaliação!$M$2:$M$877,1)</f>
        <v/>
      </c>
      <c r="J118" s="5">
        <f>COUNTIFS(Avaliação!$A$2:$A$877,$A118,Avaliação!$C$2:$C$877,$B118,Avaliação!$E$2:$E$877,"Melhoria Contínua",Avaliação!$M$2:$M$877,1)</f>
        <v/>
      </c>
      <c r="K118" s="5">
        <f>COUNTIFS(Avaliação!$A$2:$A$877,$A118,Avaliação!$C$2:$C$877,$B118,Avaliação!$E$2:$E$877,"Inicial",Avaliação!$N$2:$N$877,1)</f>
        <v/>
      </c>
      <c r="L118" s="5">
        <f>COUNTIFS(Avaliação!$A$2:$A$877,$A118,Avaliação!$C$2:$C$877,$B118,Avaliação!$E$2:$E$877,"Gerenciado",Avaliação!$N$2:$N$877,1)</f>
        <v/>
      </c>
      <c r="M118" s="5">
        <f>COUNTIFS(Avaliação!$A$2:$A$877,$A118,Avaliação!$C$2:$C$877,$B118,Avaliação!$E$2:$E$877,"Melhoria Contínua",Avaliação!$N$2:$N$877,1)</f>
        <v/>
      </c>
      <c r="N118" s="10">
        <f>IF(H118&lt;E118,v_ini*H118/E118,IF(I118&lt;F118,v_ini+(v_ger-v_ini)*I118/F118,IF(J118&lt;G118,v_ger+(v_mc-v_ger)*J118/G118,v_mc)))</f>
        <v/>
      </c>
      <c r="O118" s="10">
        <f>IF(K118&lt;E118,v_ini*K118/E118,IF(L118&lt;F118,v_ini+(v_ger-v_ini)*L118/F118,IF(M118&lt;G118,v_ger+(v_mc-v_ger)*M118/G118,v_mc)))</f>
        <v/>
      </c>
    </row>
    <row r="119">
      <c r="A119" s="5" t="inlineStr">
        <is>
          <t>ANPD</t>
        </is>
      </c>
      <c r="B119" s="5" t="inlineStr">
        <is>
          <t>ARR_CAP</t>
        </is>
      </c>
      <c r="C119" s="5" t="n">
        <v>6</v>
      </c>
      <c r="D119" s="5" t="n">
        <v>0.3</v>
      </c>
      <c r="E119" s="5">
        <f>COUNTIFS(Condições!$C$2:$C$74,$B119,Condições!$E$2:$E$74,"Inicial")</f>
        <v/>
      </c>
      <c r="F119" s="5">
        <f>COUNTIFS(Condições!$C$2:$C$74,$B119,Condições!$E$2:$E$74,"Gerenciado")</f>
        <v/>
      </c>
      <c r="G119" s="5">
        <f>COUNTIFS(Condições!$C$2:$C$74,$B119,Condições!$E$2:$E$74,"Melhoria Contínua")</f>
        <v/>
      </c>
      <c r="H119" s="5">
        <f>COUNTIFS(Avaliação!$A$2:$A$877,$A119,Avaliação!$C$2:$C$877,$B119,Avaliação!$E$2:$E$877,"Inicial",Avaliação!$M$2:$M$877,1)</f>
        <v/>
      </c>
      <c r="I119" s="5">
        <f>COUNTIFS(Avaliação!$A$2:$A$877,$A119,Avaliação!$C$2:$C$877,$B119,Avaliação!$E$2:$E$877,"Gerenciado",Avaliação!$M$2:$M$877,1)</f>
        <v/>
      </c>
      <c r="J119" s="5">
        <f>COUNTIFS(Avaliação!$A$2:$A$877,$A119,Avaliação!$C$2:$C$877,$B119,Avaliação!$E$2:$E$877,"Melhoria Contínua",Avaliação!$M$2:$M$877,1)</f>
        <v/>
      </c>
      <c r="K119" s="5">
        <f>COUNTIFS(Avaliação!$A$2:$A$877,$A119,Avaliação!$C$2:$C$877,$B119,Avaliação!$E$2:$E$877,"Inicial",Avaliação!$N$2:$N$877,1)</f>
        <v/>
      </c>
      <c r="L119" s="5">
        <f>COUNTIFS(Avaliação!$A$2:$A$877,$A119,Avaliação!$C$2:$C$877,$B119,Avaliação!$E$2:$E$877,"Gerenciado",Avaliação!$N$2:$N$877,1)</f>
        <v/>
      </c>
      <c r="M119" s="5">
        <f>COUNTIFS(Avaliação!$A$2:$A$877,$A119,Avaliação!$C$2:$C$877,$B119,Avaliação!$E$2:$E$877,"Melhoria Contínua",Avaliação!$N$2:$N$877,1)</f>
        <v/>
      </c>
      <c r="N119" s="10">
        <f>IF(H119&lt;E119,v_ini*H119/E119,IF(I119&lt;F119,v_ini+(v_ger-v_ini)*I119/F119,IF(J119&lt;G119,v_ger+(v_mc-v_ger)*J119/G119,v_mc)))</f>
        <v/>
      </c>
      <c r="O119" s="10">
        <f>IF(K119&lt;E119,v_ini*K119/E119,IF(L119&lt;F119,v_ini+(v_ger-v_ini)*L119/F119,IF(M119&lt;G119,v_ger+(v_mc-v_ger)*M119/G119,v_mc)))</f>
        <v/>
      </c>
    </row>
    <row r="120">
      <c r="A120" s="5" t="inlineStr">
        <is>
          <t>ANPD</t>
        </is>
      </c>
      <c r="B120" s="5" t="inlineStr">
        <is>
          <t>ARR_MET</t>
        </is>
      </c>
      <c r="C120" s="5" t="n">
        <v>6</v>
      </c>
      <c r="D120" s="5" t="n">
        <v>0.35</v>
      </c>
      <c r="E120" s="5">
        <f>COUNTIFS(Condições!$C$2:$C$74,$B120,Condições!$E$2:$E$74,"Inicial")</f>
        <v/>
      </c>
      <c r="F120" s="5">
        <f>COUNTIFS(Condições!$C$2:$C$74,$B120,Condições!$E$2:$E$74,"Gerenciado")</f>
        <v/>
      </c>
      <c r="G120" s="5">
        <f>COUNTIFS(Condições!$C$2:$C$74,$B120,Condições!$E$2:$E$74,"Melhoria Contínua")</f>
        <v/>
      </c>
      <c r="H120" s="5">
        <f>COUNTIFS(Avaliação!$A$2:$A$877,$A120,Avaliação!$C$2:$C$877,$B120,Avaliação!$E$2:$E$877,"Inicial",Avaliação!$M$2:$M$877,1)</f>
        <v/>
      </c>
      <c r="I120" s="5">
        <f>COUNTIFS(Avaliação!$A$2:$A$877,$A120,Avaliação!$C$2:$C$877,$B120,Avaliação!$E$2:$E$877,"Gerenciado",Avaliação!$M$2:$M$877,1)</f>
        <v/>
      </c>
      <c r="J120" s="5">
        <f>COUNTIFS(Avaliação!$A$2:$A$877,$A120,Avaliação!$C$2:$C$877,$B120,Avaliação!$E$2:$E$877,"Melhoria Contínua",Avaliação!$M$2:$M$877,1)</f>
        <v/>
      </c>
      <c r="K120" s="5">
        <f>COUNTIFS(Avaliação!$A$2:$A$877,$A120,Avaliação!$C$2:$C$877,$B120,Avaliação!$E$2:$E$877,"Inicial",Avaliação!$N$2:$N$877,1)</f>
        <v/>
      </c>
      <c r="L120" s="5">
        <f>COUNTIFS(Avaliação!$A$2:$A$877,$A120,Avaliação!$C$2:$C$877,$B120,Avaliação!$E$2:$E$877,"Gerenciado",Avaliação!$N$2:$N$877,1)</f>
        <v/>
      </c>
      <c r="M120" s="5">
        <f>COUNTIFS(Avaliação!$A$2:$A$877,$A120,Avaliação!$C$2:$C$877,$B120,Avaliação!$E$2:$E$877,"Melhoria Contínua",Avaliação!$N$2:$N$877,1)</f>
        <v/>
      </c>
      <c r="N120" s="10">
        <f>IF(H120&lt;E120,v_ini*H120/E120,IF(I120&lt;F120,v_ini+(v_ger-v_ini)*I120/F120,IF(J120&lt;G120,v_ger+(v_mc-v_ger)*J120/G120,v_mc)))</f>
        <v/>
      </c>
      <c r="O120" s="10">
        <f>IF(K120&lt;E120,v_ini*K120/E120,IF(L120&lt;F120,v_ini+(v_ger-v_ini)*L120/F120,IF(M120&lt;G120,v_ger+(v_mc-v_ger)*M120/G120,v_mc)))</f>
        <v/>
      </c>
    </row>
    <row r="121">
      <c r="A121" s="5" t="inlineStr">
        <is>
          <t>ANPD</t>
        </is>
      </c>
      <c r="B121" s="5" t="inlineStr">
        <is>
          <t>ARR_PRO</t>
        </is>
      </c>
      <c r="C121" s="5" t="n">
        <v>6</v>
      </c>
      <c r="D121" s="5" t="n">
        <v>0.35</v>
      </c>
      <c r="E121" s="5">
        <f>COUNTIFS(Condições!$C$2:$C$74,$B121,Condições!$E$2:$E$74,"Inicial")</f>
        <v/>
      </c>
      <c r="F121" s="5">
        <f>COUNTIFS(Condições!$C$2:$C$74,$B121,Condições!$E$2:$E$74,"Gerenciado")</f>
        <v/>
      </c>
      <c r="G121" s="5">
        <f>COUNTIFS(Condições!$C$2:$C$74,$B121,Condições!$E$2:$E$74,"Melhoria Contínua")</f>
        <v/>
      </c>
      <c r="H121" s="5">
        <f>COUNTIFS(Avaliação!$A$2:$A$877,$A121,Avaliação!$C$2:$C$877,$B121,Avaliação!$E$2:$E$877,"Inicial",Avaliação!$M$2:$M$877,1)</f>
        <v/>
      </c>
      <c r="I121" s="5">
        <f>COUNTIFS(Avaliação!$A$2:$A$877,$A121,Avaliação!$C$2:$C$877,$B121,Avaliação!$E$2:$E$877,"Gerenciado",Avaliação!$M$2:$M$877,1)</f>
        <v/>
      </c>
      <c r="J121" s="5">
        <f>COUNTIFS(Avaliação!$A$2:$A$877,$A121,Avaliação!$C$2:$C$877,$B121,Avaliação!$E$2:$E$877,"Melhoria Contínua",Avaliação!$M$2:$M$877,1)</f>
        <v/>
      </c>
      <c r="K121" s="5">
        <f>COUNTIFS(Avaliação!$A$2:$A$877,$A121,Avaliação!$C$2:$C$877,$B121,Avaliação!$E$2:$E$877,"Inicial",Avaliação!$N$2:$N$877,1)</f>
        <v/>
      </c>
      <c r="L121" s="5">
        <f>COUNTIFS(Avaliação!$A$2:$A$877,$A121,Avaliação!$C$2:$C$877,$B121,Avaliação!$E$2:$E$877,"Gerenciado",Avaliação!$N$2:$N$877,1)</f>
        <v/>
      </c>
      <c r="M121" s="5">
        <f>COUNTIFS(Avaliação!$A$2:$A$877,$A121,Avaliação!$C$2:$C$877,$B121,Avaliação!$E$2:$E$877,"Melhoria Contínua",Avaliação!$N$2:$N$877,1)</f>
        <v/>
      </c>
      <c r="N121" s="10">
        <f>IF(H121&lt;E121,v_ini*H121/E121,IF(I121&lt;F121,v_ini+(v_ger-v_ini)*I121/F121,IF(J121&lt;G121,v_ger+(v_mc-v_ger)*J121/G121,v_mc)))</f>
        <v/>
      </c>
      <c r="O121" s="10">
        <f>IF(K121&lt;E121,v_ini*K121/E121,IF(L121&lt;F121,v_ini+(v_ger-v_ini)*L121/F121,IF(M121&lt;G121,v_ger+(v_mc-v_ger)*M121/G121,v_mc)))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  <col width="14" customWidth="1" min="13" max="13"/>
  </cols>
  <sheetData>
    <row r="1" ht="48" customHeight="1">
      <c r="A1" s="4" t="inlineStr">
        <is>
          <t>Agência</t>
        </is>
      </c>
      <c r="B1" s="4" t="inlineStr">
        <is>
          <t>Condições respondidas</t>
        </is>
      </c>
      <c r="C1" s="4" t="inlineStr">
        <is>
          <t>Cobertura da avaliação</t>
        </is>
      </c>
      <c r="D1" s="4" t="inlineStr">
        <is>
          <t>Análise de Impacto Regulatório (máx 25)</t>
        </is>
      </c>
      <c r="E1" s="4" t="inlineStr">
        <is>
          <t>Participação Social (máx 15)</t>
        </is>
      </c>
      <c r="F1" s="4" t="inlineStr">
        <is>
          <t>Gestão de Estoque Regulatório (máx 20)</t>
        </is>
      </c>
      <c r="G1" s="4" t="inlineStr">
        <is>
          <t>Agenda Regulatória (máx 15)</t>
        </is>
      </c>
      <c r="H1" s="4" t="inlineStr">
        <is>
          <t>Gestão do Processo Normativo (máx 10)</t>
        </is>
      </c>
      <c r="I1" s="4" t="inlineStr">
        <is>
          <t>Análise de Resultado Regulatório (máx 15)</t>
        </is>
      </c>
      <c r="J1" s="4" t="inlineStr">
        <is>
          <t>IMQN ESTIMADO (0–100)</t>
        </is>
      </c>
      <c r="K1" s="4" t="inlineStr">
        <is>
          <t>IMQN COMPROVADO (0–100)</t>
        </is>
      </c>
      <c r="L1" s="4" t="inlineStr">
        <is>
          <t>Posição (estimado)</t>
        </is>
      </c>
      <c r="M1" s="4" t="inlineStr">
        <is>
          <t>Cobertura comprovada (condições)</t>
        </is>
      </c>
    </row>
    <row r="2">
      <c r="A2" s="7" t="inlineStr">
        <is>
          <t>ANATEL</t>
        </is>
      </c>
      <c r="B2" s="5">
        <f>COUNTIFS(Avaliação!$A$2:$A$877,$A2,Avaliação!$H$2:$H$877,"SIM")+COUNTIFS(Avaliação!$A$2:$A$877,$A2,Avaliação!$H$2:$H$877,"NÃO")</f>
        <v/>
      </c>
      <c r="C2" s="11">
        <f>B2/73</f>
        <v/>
      </c>
      <c r="D2" s="12">
        <f>SUMPRODUCT((Cálculo!$A$2:$A$121=$A2)*(Cálculo!$C$2:$C$121=1)*Cálculo!$D$2:$D$121*Cálculo!$N$2:$N$121)*Dimensões!$C$2</f>
        <v/>
      </c>
      <c r="E2" s="12">
        <f>SUMPRODUCT((Cálculo!$A$2:$A$121=$A2)*(Cálculo!$C$2:$C$121=2)*Cálculo!$D$2:$D$121*Cálculo!$N$2:$N$121)*Dimensões!$C$3</f>
        <v/>
      </c>
      <c r="F2" s="12">
        <f>SUMPRODUCT((Cálculo!$A$2:$A$121=$A2)*(Cálculo!$C$2:$C$121=3)*Cálculo!$D$2:$D$121*Cálculo!$N$2:$N$121)*Dimensões!$C$4</f>
        <v/>
      </c>
      <c r="G2" s="12">
        <f>SUMPRODUCT((Cálculo!$A$2:$A$121=$A2)*(Cálculo!$C$2:$C$121=4)*Cálculo!$D$2:$D$121*Cálculo!$N$2:$N$121)*Dimensões!$C$5</f>
        <v/>
      </c>
      <c r="H2" s="12">
        <f>SUMPRODUCT((Cálculo!$A$2:$A$121=$A2)*(Cálculo!$C$2:$C$121=5)*Cálculo!$D$2:$D$121*Cálculo!$N$2:$N$121)*Dimensões!$C$6</f>
        <v/>
      </c>
      <c r="I2" s="12">
        <f>SUMPRODUCT((Cálculo!$A$2:$A$121=$A2)*(Cálculo!$C$2:$C$121=6)*Cálculo!$D$2:$D$121*Cálculo!$N$2:$N$121)*Dimensões!$C$7</f>
        <v/>
      </c>
      <c r="J2" s="13">
        <f>SUM(D2:I2)</f>
        <v/>
      </c>
      <c r="K2" s="13">
        <f>SUMPRODUCT(Cálculo!$D$2:$D$121*(Cálculo!$A$2:$A$121=$A2)*Cálculo!$O$2:$O$121*SUMIF(Dimensões!$A$2:$A$7,Cálculo!$C$2:$C$121,Dimensões!$C$2:$C$7))</f>
        <v/>
      </c>
      <c r="L2" s="5">
        <f>IF(B2=0,"—",RANK(J2,$J$2:$J$13))</f>
        <v/>
      </c>
      <c r="M2" s="11">
        <f>SUMIFS(Avaliação!$N$2:$N$877,Avaliação!$A$2:$A$877,$A2)/73</f>
        <v/>
      </c>
    </row>
    <row r="3">
      <c r="A3" s="7" t="inlineStr">
        <is>
          <t>ANVISA</t>
        </is>
      </c>
      <c r="B3" s="5">
        <f>COUNTIFS(Avaliação!$A$2:$A$877,$A3,Avaliação!$H$2:$H$877,"SIM")+COUNTIFS(Avaliação!$A$2:$A$877,$A3,Avaliação!$H$2:$H$877,"NÃO")</f>
        <v/>
      </c>
      <c r="C3" s="11">
        <f>B3/73</f>
        <v/>
      </c>
      <c r="D3" s="12">
        <f>SUMPRODUCT((Cálculo!$A$2:$A$121=$A3)*(Cálculo!$C$2:$C$121=1)*Cálculo!$D$2:$D$121*Cálculo!$N$2:$N$121)*Dimensões!$C$2</f>
        <v/>
      </c>
      <c r="E3" s="12">
        <f>SUMPRODUCT((Cálculo!$A$2:$A$121=$A3)*(Cálculo!$C$2:$C$121=2)*Cálculo!$D$2:$D$121*Cálculo!$N$2:$N$121)*Dimensões!$C$3</f>
        <v/>
      </c>
      <c r="F3" s="12">
        <f>SUMPRODUCT((Cálculo!$A$2:$A$121=$A3)*(Cálculo!$C$2:$C$121=3)*Cálculo!$D$2:$D$121*Cálculo!$N$2:$N$121)*Dimensões!$C$4</f>
        <v/>
      </c>
      <c r="G3" s="12">
        <f>SUMPRODUCT((Cálculo!$A$2:$A$121=$A3)*(Cálculo!$C$2:$C$121=4)*Cálculo!$D$2:$D$121*Cálculo!$N$2:$N$121)*Dimensões!$C$5</f>
        <v/>
      </c>
      <c r="H3" s="12">
        <f>SUMPRODUCT((Cálculo!$A$2:$A$121=$A3)*(Cálculo!$C$2:$C$121=5)*Cálculo!$D$2:$D$121*Cálculo!$N$2:$N$121)*Dimensões!$C$6</f>
        <v/>
      </c>
      <c r="I3" s="12">
        <f>SUMPRODUCT((Cálculo!$A$2:$A$121=$A3)*(Cálculo!$C$2:$C$121=6)*Cálculo!$D$2:$D$121*Cálculo!$N$2:$N$121)*Dimensões!$C$7</f>
        <v/>
      </c>
      <c r="J3" s="13">
        <f>SUM(D3:I3)</f>
        <v/>
      </c>
      <c r="K3" s="13">
        <f>SUMPRODUCT(Cálculo!$D$2:$D$121*(Cálculo!$A$2:$A$121=$A3)*Cálculo!$O$2:$O$121*SUMIF(Dimensões!$A$2:$A$7,Cálculo!$C$2:$C$121,Dimensões!$C$2:$C$7))</f>
        <v/>
      </c>
      <c r="L3" s="5">
        <f>IF(B3=0,"—",RANK(J3,$J$2:$J$13))</f>
        <v/>
      </c>
      <c r="M3" s="11">
        <f>SUMIFS(Avaliação!$N$2:$N$877,Avaliação!$A$2:$A$877,$A3)/73</f>
        <v/>
      </c>
    </row>
    <row r="4">
      <c r="A4" s="7" t="inlineStr">
        <is>
          <t>ANEEL</t>
        </is>
      </c>
      <c r="B4" s="5">
        <f>COUNTIFS(Avaliação!$A$2:$A$877,$A4,Avaliação!$H$2:$H$877,"SIM")+COUNTIFS(Avaliação!$A$2:$A$877,$A4,Avaliação!$H$2:$H$877,"NÃO")</f>
        <v/>
      </c>
      <c r="C4" s="11">
        <f>B4/73</f>
        <v/>
      </c>
      <c r="D4" s="12">
        <f>SUMPRODUCT((Cálculo!$A$2:$A$121=$A4)*(Cálculo!$C$2:$C$121=1)*Cálculo!$D$2:$D$121*Cálculo!$N$2:$N$121)*Dimensões!$C$2</f>
        <v/>
      </c>
      <c r="E4" s="12">
        <f>SUMPRODUCT((Cálculo!$A$2:$A$121=$A4)*(Cálculo!$C$2:$C$121=2)*Cálculo!$D$2:$D$121*Cálculo!$N$2:$N$121)*Dimensões!$C$3</f>
        <v/>
      </c>
      <c r="F4" s="12">
        <f>SUMPRODUCT((Cálculo!$A$2:$A$121=$A4)*(Cálculo!$C$2:$C$121=3)*Cálculo!$D$2:$D$121*Cálculo!$N$2:$N$121)*Dimensões!$C$4</f>
        <v/>
      </c>
      <c r="G4" s="12">
        <f>SUMPRODUCT((Cálculo!$A$2:$A$121=$A4)*(Cálculo!$C$2:$C$121=4)*Cálculo!$D$2:$D$121*Cálculo!$N$2:$N$121)*Dimensões!$C$5</f>
        <v/>
      </c>
      <c r="H4" s="12">
        <f>SUMPRODUCT((Cálculo!$A$2:$A$121=$A4)*(Cálculo!$C$2:$C$121=5)*Cálculo!$D$2:$D$121*Cálculo!$N$2:$N$121)*Dimensões!$C$6</f>
        <v/>
      </c>
      <c r="I4" s="12">
        <f>SUMPRODUCT((Cálculo!$A$2:$A$121=$A4)*(Cálculo!$C$2:$C$121=6)*Cálculo!$D$2:$D$121*Cálculo!$N$2:$N$121)*Dimensões!$C$7</f>
        <v/>
      </c>
      <c r="J4" s="13">
        <f>SUM(D4:I4)</f>
        <v/>
      </c>
      <c r="K4" s="13">
        <f>SUMPRODUCT(Cálculo!$D$2:$D$121*(Cálculo!$A$2:$A$121=$A4)*Cálculo!$O$2:$O$121*SUMIF(Dimensões!$A$2:$A$7,Cálculo!$C$2:$C$121,Dimensões!$C$2:$C$7))</f>
        <v/>
      </c>
      <c r="L4" s="5">
        <f>IF(B4=0,"—",RANK(J4,$J$2:$J$13))</f>
        <v/>
      </c>
      <c r="M4" s="11">
        <f>SUMIFS(Avaliação!$N$2:$N$877,Avaliação!$A$2:$A$877,$A4)/73</f>
        <v/>
      </c>
    </row>
    <row r="5">
      <c r="A5" s="7" t="inlineStr">
        <is>
          <t>ANTT</t>
        </is>
      </c>
      <c r="B5" s="5">
        <f>COUNTIFS(Avaliação!$A$2:$A$877,$A5,Avaliação!$H$2:$H$877,"SIM")+COUNTIFS(Avaliação!$A$2:$A$877,$A5,Avaliação!$H$2:$H$877,"NÃO")</f>
        <v/>
      </c>
      <c r="C5" s="11">
        <f>B5/73</f>
        <v/>
      </c>
      <c r="D5" s="12">
        <f>SUMPRODUCT((Cálculo!$A$2:$A$121=$A5)*(Cálculo!$C$2:$C$121=1)*Cálculo!$D$2:$D$121*Cálculo!$N$2:$N$121)*Dimensões!$C$2</f>
        <v/>
      </c>
      <c r="E5" s="12">
        <f>SUMPRODUCT((Cálculo!$A$2:$A$121=$A5)*(Cálculo!$C$2:$C$121=2)*Cálculo!$D$2:$D$121*Cálculo!$N$2:$N$121)*Dimensões!$C$3</f>
        <v/>
      </c>
      <c r="F5" s="12">
        <f>SUMPRODUCT((Cálculo!$A$2:$A$121=$A5)*(Cálculo!$C$2:$C$121=3)*Cálculo!$D$2:$D$121*Cálculo!$N$2:$N$121)*Dimensões!$C$4</f>
        <v/>
      </c>
      <c r="G5" s="12">
        <f>SUMPRODUCT((Cálculo!$A$2:$A$121=$A5)*(Cálculo!$C$2:$C$121=4)*Cálculo!$D$2:$D$121*Cálculo!$N$2:$N$121)*Dimensões!$C$5</f>
        <v/>
      </c>
      <c r="H5" s="12">
        <f>SUMPRODUCT((Cálculo!$A$2:$A$121=$A5)*(Cálculo!$C$2:$C$121=5)*Cálculo!$D$2:$D$121*Cálculo!$N$2:$N$121)*Dimensões!$C$6</f>
        <v/>
      </c>
      <c r="I5" s="12">
        <f>SUMPRODUCT((Cálculo!$A$2:$A$121=$A5)*(Cálculo!$C$2:$C$121=6)*Cálculo!$D$2:$D$121*Cálculo!$N$2:$N$121)*Dimensões!$C$7</f>
        <v/>
      </c>
      <c r="J5" s="13">
        <f>SUM(D5:I5)</f>
        <v/>
      </c>
      <c r="K5" s="13">
        <f>SUMPRODUCT(Cálculo!$D$2:$D$121*(Cálculo!$A$2:$A$121=$A5)*Cálculo!$O$2:$O$121*SUMIF(Dimensões!$A$2:$A$7,Cálculo!$C$2:$C$121,Dimensões!$C$2:$C$7))</f>
        <v/>
      </c>
      <c r="L5" s="5">
        <f>IF(B5=0,"—",RANK(J5,$J$2:$J$13))</f>
        <v/>
      </c>
      <c r="M5" s="11">
        <f>SUMIFS(Avaliação!$N$2:$N$877,Avaliação!$A$2:$A$877,$A5)/73</f>
        <v/>
      </c>
    </row>
    <row r="6">
      <c r="A6" s="7" t="inlineStr">
        <is>
          <t>ANAC</t>
        </is>
      </c>
      <c r="B6" s="5">
        <f>COUNTIFS(Avaliação!$A$2:$A$877,$A6,Avaliação!$H$2:$H$877,"SIM")+COUNTIFS(Avaliação!$A$2:$A$877,$A6,Avaliação!$H$2:$H$877,"NÃO")</f>
        <v/>
      </c>
      <c r="C6" s="11">
        <f>B6/73</f>
        <v/>
      </c>
      <c r="D6" s="12">
        <f>SUMPRODUCT((Cálculo!$A$2:$A$121=$A6)*(Cálculo!$C$2:$C$121=1)*Cálculo!$D$2:$D$121*Cálculo!$N$2:$N$121)*Dimensões!$C$2</f>
        <v/>
      </c>
      <c r="E6" s="12">
        <f>SUMPRODUCT((Cálculo!$A$2:$A$121=$A6)*(Cálculo!$C$2:$C$121=2)*Cálculo!$D$2:$D$121*Cálculo!$N$2:$N$121)*Dimensões!$C$3</f>
        <v/>
      </c>
      <c r="F6" s="12">
        <f>SUMPRODUCT((Cálculo!$A$2:$A$121=$A6)*(Cálculo!$C$2:$C$121=3)*Cálculo!$D$2:$D$121*Cálculo!$N$2:$N$121)*Dimensões!$C$4</f>
        <v/>
      </c>
      <c r="G6" s="12">
        <f>SUMPRODUCT((Cálculo!$A$2:$A$121=$A6)*(Cálculo!$C$2:$C$121=4)*Cálculo!$D$2:$D$121*Cálculo!$N$2:$N$121)*Dimensões!$C$5</f>
        <v/>
      </c>
      <c r="H6" s="12">
        <f>SUMPRODUCT((Cálculo!$A$2:$A$121=$A6)*(Cálculo!$C$2:$C$121=5)*Cálculo!$D$2:$D$121*Cálculo!$N$2:$N$121)*Dimensões!$C$6</f>
        <v/>
      </c>
      <c r="I6" s="12">
        <f>SUMPRODUCT((Cálculo!$A$2:$A$121=$A6)*(Cálculo!$C$2:$C$121=6)*Cálculo!$D$2:$D$121*Cálculo!$N$2:$N$121)*Dimensões!$C$7</f>
        <v/>
      </c>
      <c r="J6" s="13">
        <f>SUM(D6:I6)</f>
        <v/>
      </c>
      <c r="K6" s="13">
        <f>SUMPRODUCT(Cálculo!$D$2:$D$121*(Cálculo!$A$2:$A$121=$A6)*Cálculo!$O$2:$O$121*SUMIF(Dimensões!$A$2:$A$7,Cálculo!$C$2:$C$121,Dimensões!$C$2:$C$7))</f>
        <v/>
      </c>
      <c r="L6" s="5">
        <f>IF(B6=0,"—",RANK(J6,$J$2:$J$13))</f>
        <v/>
      </c>
      <c r="M6" s="11">
        <f>SUMIFS(Avaliação!$N$2:$N$877,Avaliação!$A$2:$A$877,$A6)/73</f>
        <v/>
      </c>
    </row>
    <row r="7">
      <c r="A7" s="7" t="inlineStr">
        <is>
          <t>ANTAQ</t>
        </is>
      </c>
      <c r="B7" s="5">
        <f>COUNTIFS(Avaliação!$A$2:$A$877,$A7,Avaliação!$H$2:$H$877,"SIM")+COUNTIFS(Avaliação!$A$2:$A$877,$A7,Avaliação!$H$2:$H$877,"NÃO")</f>
        <v/>
      </c>
      <c r="C7" s="11">
        <f>B7/73</f>
        <v/>
      </c>
      <c r="D7" s="12">
        <f>SUMPRODUCT((Cálculo!$A$2:$A$121=$A7)*(Cálculo!$C$2:$C$121=1)*Cálculo!$D$2:$D$121*Cálculo!$N$2:$N$121)*Dimensões!$C$2</f>
        <v/>
      </c>
      <c r="E7" s="12">
        <f>SUMPRODUCT((Cálculo!$A$2:$A$121=$A7)*(Cálculo!$C$2:$C$121=2)*Cálculo!$D$2:$D$121*Cálculo!$N$2:$N$121)*Dimensões!$C$3</f>
        <v/>
      </c>
      <c r="F7" s="12">
        <f>SUMPRODUCT((Cálculo!$A$2:$A$121=$A7)*(Cálculo!$C$2:$C$121=3)*Cálculo!$D$2:$D$121*Cálculo!$N$2:$N$121)*Dimensões!$C$4</f>
        <v/>
      </c>
      <c r="G7" s="12">
        <f>SUMPRODUCT((Cálculo!$A$2:$A$121=$A7)*(Cálculo!$C$2:$C$121=4)*Cálculo!$D$2:$D$121*Cálculo!$N$2:$N$121)*Dimensões!$C$5</f>
        <v/>
      </c>
      <c r="H7" s="12">
        <f>SUMPRODUCT((Cálculo!$A$2:$A$121=$A7)*(Cálculo!$C$2:$C$121=5)*Cálculo!$D$2:$D$121*Cálculo!$N$2:$N$121)*Dimensões!$C$6</f>
        <v/>
      </c>
      <c r="I7" s="12">
        <f>SUMPRODUCT((Cálculo!$A$2:$A$121=$A7)*(Cálculo!$C$2:$C$121=6)*Cálculo!$D$2:$D$121*Cálculo!$N$2:$N$121)*Dimensões!$C$7</f>
        <v/>
      </c>
      <c r="J7" s="13">
        <f>SUM(D7:I7)</f>
        <v/>
      </c>
      <c r="K7" s="13">
        <f>SUMPRODUCT(Cálculo!$D$2:$D$121*(Cálculo!$A$2:$A$121=$A7)*Cálculo!$O$2:$O$121*SUMIF(Dimensões!$A$2:$A$7,Cálculo!$C$2:$C$121,Dimensões!$C$2:$C$7))</f>
        <v/>
      </c>
      <c r="L7" s="5">
        <f>IF(B7=0,"—",RANK(J7,$J$2:$J$13))</f>
        <v/>
      </c>
      <c r="M7" s="11">
        <f>SUMIFS(Avaliação!$N$2:$N$877,Avaliação!$A$2:$A$877,$A7)/73</f>
        <v/>
      </c>
    </row>
    <row r="8">
      <c r="A8" s="7" t="inlineStr">
        <is>
          <t>ANP</t>
        </is>
      </c>
      <c r="B8" s="5">
        <f>COUNTIFS(Avaliação!$A$2:$A$877,$A8,Avaliação!$H$2:$H$877,"SIM")+COUNTIFS(Avaliação!$A$2:$A$877,$A8,Avaliação!$H$2:$H$877,"NÃO")</f>
        <v/>
      </c>
      <c r="C8" s="11">
        <f>B8/73</f>
        <v/>
      </c>
      <c r="D8" s="12">
        <f>SUMPRODUCT((Cálculo!$A$2:$A$121=$A8)*(Cálculo!$C$2:$C$121=1)*Cálculo!$D$2:$D$121*Cálculo!$N$2:$N$121)*Dimensões!$C$2</f>
        <v/>
      </c>
      <c r="E8" s="12">
        <f>SUMPRODUCT((Cálculo!$A$2:$A$121=$A8)*(Cálculo!$C$2:$C$121=2)*Cálculo!$D$2:$D$121*Cálculo!$N$2:$N$121)*Dimensões!$C$3</f>
        <v/>
      </c>
      <c r="F8" s="12">
        <f>SUMPRODUCT((Cálculo!$A$2:$A$121=$A8)*(Cálculo!$C$2:$C$121=3)*Cálculo!$D$2:$D$121*Cálculo!$N$2:$N$121)*Dimensões!$C$4</f>
        <v/>
      </c>
      <c r="G8" s="12">
        <f>SUMPRODUCT((Cálculo!$A$2:$A$121=$A8)*(Cálculo!$C$2:$C$121=4)*Cálculo!$D$2:$D$121*Cálculo!$N$2:$N$121)*Dimensões!$C$5</f>
        <v/>
      </c>
      <c r="H8" s="12">
        <f>SUMPRODUCT((Cálculo!$A$2:$A$121=$A8)*(Cálculo!$C$2:$C$121=5)*Cálculo!$D$2:$D$121*Cálculo!$N$2:$N$121)*Dimensões!$C$6</f>
        <v/>
      </c>
      <c r="I8" s="12">
        <f>SUMPRODUCT((Cálculo!$A$2:$A$121=$A8)*(Cálculo!$C$2:$C$121=6)*Cálculo!$D$2:$D$121*Cálculo!$N$2:$N$121)*Dimensões!$C$7</f>
        <v/>
      </c>
      <c r="J8" s="13">
        <f>SUM(D8:I8)</f>
        <v/>
      </c>
      <c r="K8" s="13">
        <f>SUMPRODUCT(Cálculo!$D$2:$D$121*(Cálculo!$A$2:$A$121=$A8)*Cálculo!$O$2:$O$121*SUMIF(Dimensões!$A$2:$A$7,Cálculo!$C$2:$C$121,Dimensões!$C$2:$C$7))</f>
        <v/>
      </c>
      <c r="L8" s="5">
        <f>IF(B8=0,"—",RANK(J8,$J$2:$J$13))</f>
        <v/>
      </c>
      <c r="M8" s="11">
        <f>SUMIFS(Avaliação!$N$2:$N$877,Avaliação!$A$2:$A$877,$A8)/73</f>
        <v/>
      </c>
    </row>
    <row r="9">
      <c r="A9" s="7" t="inlineStr">
        <is>
          <t>ANA</t>
        </is>
      </c>
      <c r="B9" s="5">
        <f>COUNTIFS(Avaliação!$A$2:$A$877,$A9,Avaliação!$H$2:$H$877,"SIM")+COUNTIFS(Avaliação!$A$2:$A$877,$A9,Avaliação!$H$2:$H$877,"NÃO")</f>
        <v/>
      </c>
      <c r="C9" s="11">
        <f>B9/73</f>
        <v/>
      </c>
      <c r="D9" s="12">
        <f>SUMPRODUCT((Cálculo!$A$2:$A$121=$A9)*(Cálculo!$C$2:$C$121=1)*Cálculo!$D$2:$D$121*Cálculo!$N$2:$N$121)*Dimensões!$C$2</f>
        <v/>
      </c>
      <c r="E9" s="12">
        <f>SUMPRODUCT((Cálculo!$A$2:$A$121=$A9)*(Cálculo!$C$2:$C$121=2)*Cálculo!$D$2:$D$121*Cálculo!$N$2:$N$121)*Dimensões!$C$3</f>
        <v/>
      </c>
      <c r="F9" s="12">
        <f>SUMPRODUCT((Cálculo!$A$2:$A$121=$A9)*(Cálculo!$C$2:$C$121=3)*Cálculo!$D$2:$D$121*Cálculo!$N$2:$N$121)*Dimensões!$C$4</f>
        <v/>
      </c>
      <c r="G9" s="12">
        <f>SUMPRODUCT((Cálculo!$A$2:$A$121=$A9)*(Cálculo!$C$2:$C$121=4)*Cálculo!$D$2:$D$121*Cálculo!$N$2:$N$121)*Dimensões!$C$5</f>
        <v/>
      </c>
      <c r="H9" s="12">
        <f>SUMPRODUCT((Cálculo!$A$2:$A$121=$A9)*(Cálculo!$C$2:$C$121=5)*Cálculo!$D$2:$D$121*Cálculo!$N$2:$N$121)*Dimensões!$C$6</f>
        <v/>
      </c>
      <c r="I9" s="12">
        <f>SUMPRODUCT((Cálculo!$A$2:$A$121=$A9)*(Cálculo!$C$2:$C$121=6)*Cálculo!$D$2:$D$121*Cálculo!$N$2:$N$121)*Dimensões!$C$7</f>
        <v/>
      </c>
      <c r="J9" s="13">
        <f>SUM(D9:I9)</f>
        <v/>
      </c>
      <c r="K9" s="13">
        <f>SUMPRODUCT(Cálculo!$D$2:$D$121*(Cálculo!$A$2:$A$121=$A9)*Cálculo!$O$2:$O$121*SUMIF(Dimensões!$A$2:$A$7,Cálculo!$C$2:$C$121,Dimensões!$C$2:$C$7))</f>
        <v/>
      </c>
      <c r="L9" s="5">
        <f>IF(B9=0,"—",RANK(J9,$J$2:$J$13))</f>
        <v/>
      </c>
      <c r="M9" s="11">
        <f>SUMIFS(Avaliação!$N$2:$N$877,Avaliação!$A$2:$A$877,$A9)/73</f>
        <v/>
      </c>
    </row>
    <row r="10">
      <c r="A10" s="7" t="inlineStr">
        <is>
          <t>ANS</t>
        </is>
      </c>
      <c r="B10" s="5">
        <f>COUNTIFS(Avaliação!$A$2:$A$877,$A10,Avaliação!$H$2:$H$877,"SIM")+COUNTIFS(Avaliação!$A$2:$A$877,$A10,Avaliação!$H$2:$H$877,"NÃO")</f>
        <v/>
      </c>
      <c r="C10" s="11">
        <f>B10/73</f>
        <v/>
      </c>
      <c r="D10" s="12">
        <f>SUMPRODUCT((Cálculo!$A$2:$A$121=$A10)*(Cálculo!$C$2:$C$121=1)*Cálculo!$D$2:$D$121*Cálculo!$N$2:$N$121)*Dimensões!$C$2</f>
        <v/>
      </c>
      <c r="E10" s="12">
        <f>SUMPRODUCT((Cálculo!$A$2:$A$121=$A10)*(Cálculo!$C$2:$C$121=2)*Cálculo!$D$2:$D$121*Cálculo!$N$2:$N$121)*Dimensões!$C$3</f>
        <v/>
      </c>
      <c r="F10" s="12">
        <f>SUMPRODUCT((Cálculo!$A$2:$A$121=$A10)*(Cálculo!$C$2:$C$121=3)*Cálculo!$D$2:$D$121*Cálculo!$N$2:$N$121)*Dimensões!$C$4</f>
        <v/>
      </c>
      <c r="G10" s="12">
        <f>SUMPRODUCT((Cálculo!$A$2:$A$121=$A10)*(Cálculo!$C$2:$C$121=4)*Cálculo!$D$2:$D$121*Cálculo!$N$2:$N$121)*Dimensões!$C$5</f>
        <v/>
      </c>
      <c r="H10" s="12">
        <f>SUMPRODUCT((Cálculo!$A$2:$A$121=$A10)*(Cálculo!$C$2:$C$121=5)*Cálculo!$D$2:$D$121*Cálculo!$N$2:$N$121)*Dimensões!$C$6</f>
        <v/>
      </c>
      <c r="I10" s="12">
        <f>SUMPRODUCT((Cálculo!$A$2:$A$121=$A10)*(Cálculo!$C$2:$C$121=6)*Cálculo!$D$2:$D$121*Cálculo!$N$2:$N$121)*Dimensões!$C$7</f>
        <v/>
      </c>
      <c r="J10" s="13">
        <f>SUM(D10:I10)</f>
        <v/>
      </c>
      <c r="K10" s="13">
        <f>SUMPRODUCT(Cálculo!$D$2:$D$121*(Cálculo!$A$2:$A$121=$A10)*Cálculo!$O$2:$O$121*SUMIF(Dimensões!$A$2:$A$7,Cálculo!$C$2:$C$121,Dimensões!$C$2:$C$7))</f>
        <v/>
      </c>
      <c r="L10" s="5">
        <f>IF(B10=0,"—",RANK(J10,$J$2:$J$13))</f>
        <v/>
      </c>
      <c r="M10" s="11">
        <f>SUMIFS(Avaliação!$N$2:$N$877,Avaliação!$A$2:$A$877,$A10)/73</f>
        <v/>
      </c>
    </row>
    <row r="11">
      <c r="A11" s="7" t="inlineStr">
        <is>
          <t>ANM</t>
        </is>
      </c>
      <c r="B11" s="5">
        <f>COUNTIFS(Avaliação!$A$2:$A$877,$A11,Avaliação!$H$2:$H$877,"SIM")+COUNTIFS(Avaliação!$A$2:$A$877,$A11,Avaliação!$H$2:$H$877,"NÃO")</f>
        <v/>
      </c>
      <c r="C11" s="11">
        <f>B11/73</f>
        <v/>
      </c>
      <c r="D11" s="12">
        <f>SUMPRODUCT((Cálculo!$A$2:$A$121=$A11)*(Cálculo!$C$2:$C$121=1)*Cálculo!$D$2:$D$121*Cálculo!$N$2:$N$121)*Dimensões!$C$2</f>
        <v/>
      </c>
      <c r="E11" s="12">
        <f>SUMPRODUCT((Cálculo!$A$2:$A$121=$A11)*(Cálculo!$C$2:$C$121=2)*Cálculo!$D$2:$D$121*Cálculo!$N$2:$N$121)*Dimensões!$C$3</f>
        <v/>
      </c>
      <c r="F11" s="12">
        <f>SUMPRODUCT((Cálculo!$A$2:$A$121=$A11)*(Cálculo!$C$2:$C$121=3)*Cálculo!$D$2:$D$121*Cálculo!$N$2:$N$121)*Dimensões!$C$4</f>
        <v/>
      </c>
      <c r="G11" s="12">
        <f>SUMPRODUCT((Cálculo!$A$2:$A$121=$A11)*(Cálculo!$C$2:$C$121=4)*Cálculo!$D$2:$D$121*Cálculo!$N$2:$N$121)*Dimensões!$C$5</f>
        <v/>
      </c>
      <c r="H11" s="12">
        <f>SUMPRODUCT((Cálculo!$A$2:$A$121=$A11)*(Cálculo!$C$2:$C$121=5)*Cálculo!$D$2:$D$121*Cálculo!$N$2:$N$121)*Dimensões!$C$6</f>
        <v/>
      </c>
      <c r="I11" s="12">
        <f>SUMPRODUCT((Cálculo!$A$2:$A$121=$A11)*(Cálculo!$C$2:$C$121=6)*Cálculo!$D$2:$D$121*Cálculo!$N$2:$N$121)*Dimensões!$C$7</f>
        <v/>
      </c>
      <c r="J11" s="13">
        <f>SUM(D11:I11)</f>
        <v/>
      </c>
      <c r="K11" s="13">
        <f>SUMPRODUCT(Cálculo!$D$2:$D$121*(Cálculo!$A$2:$A$121=$A11)*Cálculo!$O$2:$O$121*SUMIF(Dimensões!$A$2:$A$7,Cálculo!$C$2:$C$121,Dimensões!$C$2:$C$7))</f>
        <v/>
      </c>
      <c r="L11" s="5">
        <f>IF(B11=0,"—",RANK(J11,$J$2:$J$13))</f>
        <v/>
      </c>
      <c r="M11" s="11">
        <f>SUMIFS(Avaliação!$N$2:$N$877,Avaliação!$A$2:$A$877,$A11)/73</f>
        <v/>
      </c>
    </row>
    <row r="12">
      <c r="A12" s="7" t="inlineStr">
        <is>
          <t>ANCINE</t>
        </is>
      </c>
      <c r="B12" s="5">
        <f>COUNTIFS(Avaliação!$A$2:$A$877,$A12,Avaliação!$H$2:$H$877,"SIM")+COUNTIFS(Avaliação!$A$2:$A$877,$A12,Avaliação!$H$2:$H$877,"NÃO")</f>
        <v/>
      </c>
      <c r="C12" s="11">
        <f>B12/73</f>
        <v/>
      </c>
      <c r="D12" s="12">
        <f>SUMPRODUCT((Cálculo!$A$2:$A$121=$A12)*(Cálculo!$C$2:$C$121=1)*Cálculo!$D$2:$D$121*Cálculo!$N$2:$N$121)*Dimensões!$C$2</f>
        <v/>
      </c>
      <c r="E12" s="12">
        <f>SUMPRODUCT((Cálculo!$A$2:$A$121=$A12)*(Cálculo!$C$2:$C$121=2)*Cálculo!$D$2:$D$121*Cálculo!$N$2:$N$121)*Dimensões!$C$3</f>
        <v/>
      </c>
      <c r="F12" s="12">
        <f>SUMPRODUCT((Cálculo!$A$2:$A$121=$A12)*(Cálculo!$C$2:$C$121=3)*Cálculo!$D$2:$D$121*Cálculo!$N$2:$N$121)*Dimensões!$C$4</f>
        <v/>
      </c>
      <c r="G12" s="12">
        <f>SUMPRODUCT((Cálculo!$A$2:$A$121=$A12)*(Cálculo!$C$2:$C$121=4)*Cálculo!$D$2:$D$121*Cálculo!$N$2:$N$121)*Dimensões!$C$5</f>
        <v/>
      </c>
      <c r="H12" s="12">
        <f>SUMPRODUCT((Cálculo!$A$2:$A$121=$A12)*(Cálculo!$C$2:$C$121=5)*Cálculo!$D$2:$D$121*Cálculo!$N$2:$N$121)*Dimensões!$C$6</f>
        <v/>
      </c>
      <c r="I12" s="12">
        <f>SUMPRODUCT((Cálculo!$A$2:$A$121=$A12)*(Cálculo!$C$2:$C$121=6)*Cálculo!$D$2:$D$121*Cálculo!$N$2:$N$121)*Dimensões!$C$7</f>
        <v/>
      </c>
      <c r="J12" s="13">
        <f>SUM(D12:I12)</f>
        <v/>
      </c>
      <c r="K12" s="13">
        <f>SUMPRODUCT(Cálculo!$D$2:$D$121*(Cálculo!$A$2:$A$121=$A12)*Cálculo!$O$2:$O$121*SUMIF(Dimensões!$A$2:$A$7,Cálculo!$C$2:$C$121,Dimensões!$C$2:$C$7))</f>
        <v/>
      </c>
      <c r="L12" s="5">
        <f>IF(B12=0,"—",RANK(J12,$J$2:$J$13))</f>
        <v/>
      </c>
      <c r="M12" s="11">
        <f>SUMIFS(Avaliação!$N$2:$N$877,Avaliação!$A$2:$A$877,$A12)/73</f>
        <v/>
      </c>
    </row>
    <row r="13">
      <c r="A13" s="7" t="inlineStr">
        <is>
          <t>ANPD</t>
        </is>
      </c>
      <c r="B13" s="5">
        <f>COUNTIFS(Avaliação!$A$2:$A$877,$A13,Avaliação!$H$2:$H$877,"SIM")+COUNTIFS(Avaliação!$A$2:$A$877,$A13,Avaliação!$H$2:$H$877,"NÃO")</f>
        <v/>
      </c>
      <c r="C13" s="11">
        <f>B13/73</f>
        <v/>
      </c>
      <c r="D13" s="12">
        <f>SUMPRODUCT((Cálculo!$A$2:$A$121=$A13)*(Cálculo!$C$2:$C$121=1)*Cálculo!$D$2:$D$121*Cálculo!$N$2:$N$121)*Dimensões!$C$2</f>
        <v/>
      </c>
      <c r="E13" s="12">
        <f>SUMPRODUCT((Cálculo!$A$2:$A$121=$A13)*(Cálculo!$C$2:$C$121=2)*Cálculo!$D$2:$D$121*Cálculo!$N$2:$N$121)*Dimensões!$C$3</f>
        <v/>
      </c>
      <c r="F13" s="12">
        <f>SUMPRODUCT((Cálculo!$A$2:$A$121=$A13)*(Cálculo!$C$2:$C$121=3)*Cálculo!$D$2:$D$121*Cálculo!$N$2:$N$121)*Dimensões!$C$4</f>
        <v/>
      </c>
      <c r="G13" s="12">
        <f>SUMPRODUCT((Cálculo!$A$2:$A$121=$A13)*(Cálculo!$C$2:$C$121=4)*Cálculo!$D$2:$D$121*Cálculo!$N$2:$N$121)*Dimensões!$C$5</f>
        <v/>
      </c>
      <c r="H13" s="12">
        <f>SUMPRODUCT((Cálculo!$A$2:$A$121=$A13)*(Cálculo!$C$2:$C$121=5)*Cálculo!$D$2:$D$121*Cálculo!$N$2:$N$121)*Dimensões!$C$6</f>
        <v/>
      </c>
      <c r="I13" s="12">
        <f>SUMPRODUCT((Cálculo!$A$2:$A$121=$A13)*(Cálculo!$C$2:$C$121=6)*Cálculo!$D$2:$D$121*Cálculo!$N$2:$N$121)*Dimensões!$C$7</f>
        <v/>
      </c>
      <c r="J13" s="13">
        <f>SUM(D13:I13)</f>
        <v/>
      </c>
      <c r="K13" s="13">
        <f>SUMPRODUCT(Cálculo!$D$2:$D$121*(Cálculo!$A$2:$A$121=$A13)*Cálculo!$O$2:$O$121*SUMIF(Dimensões!$A$2:$A$7,Cálculo!$C$2:$C$121,Dimensões!$C$2:$C$7))</f>
        <v/>
      </c>
      <c r="L13" s="5">
        <f>IF(B13=0,"—",RANK(J13,$J$2:$J$13))</f>
        <v/>
      </c>
      <c r="M13" s="11">
        <f>SUMIFS(Avaliação!$N$2:$N$877,Avaliação!$A$2:$A$877,$A13)/73</f>
        <v/>
      </c>
    </row>
    <row r="15">
      <c r="A15" s="8" t="inlineStr">
        <is>
          <t>Notas: (1) "Posição" só aparece após a agência ter ≥1 condição respondida. (2) ESTIMADO soma todo SIM; COMPROVADO exige SIM + URL + status validado. (3) Em branco ≠ NÃO.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5" t="n"/>
    </row>
    <row r="16">
      <c r="A16" s="7" t="inlineStr">
        <is>
          <t>Teto verificável só por fonte pública (proposta de classificação): 54.96 de 100 — o restante exige dado interno do órgão.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5" t="n"/>
    </row>
  </sheetData>
  <mergeCells count="2">
    <mergeCell ref="A16:M16"/>
    <mergeCell ref="A15:M15"/>
  </mergeCells>
  <conditionalFormatting sqref="D2:I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K1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0" customWidth="1" min="4" max="4"/>
    <col width="50" customWidth="1" min="5" max="5"/>
  </cols>
  <sheetData>
    <row r="1">
      <c r="A1" s="4" t="inlineStr">
        <is>
          <t>#</t>
        </is>
      </c>
      <c r="B1" s="4" t="inlineStr">
        <is>
          <t>Onde (planilha original)</t>
        </is>
      </c>
      <c r="C1" s="4" t="inlineStr">
        <is>
          <t>Achado</t>
        </is>
      </c>
      <c r="D1" s="4" t="inlineStr">
        <is>
          <t>Impacto</t>
        </is>
      </c>
      <c r="E1" s="4" t="inlineStr">
        <is>
          <t>O que este workbook faz</t>
        </is>
      </c>
    </row>
    <row r="2">
      <c r="A2" s="5" t="n">
        <v>1</v>
      </c>
      <c r="B2" s="5" t="inlineStr">
        <is>
          <t>INDICADOR!C5:L11</t>
        </is>
      </c>
      <c r="C2" s="5" t="inlineStr">
        <is>
          <t>O nível é escolhido digitando 1/0 em 4 células por critério (one-hot); nada liga as condições das abas AIR/PS/… ao nível.</t>
        </is>
      </c>
      <c r="D2" s="5" t="inlineStr">
        <is>
          <t>Classificação é juízo livre, não reprodutível nem auditável.</t>
        </is>
      </c>
      <c r="E2" s="5" t="inlineStr">
        <is>
          <t>Resposta por condição + regra de cascata em fórmula.</t>
        </is>
      </c>
    </row>
    <row r="3">
      <c r="A3" s="5" t="n">
        <v>2</v>
      </c>
      <c r="B3" s="5" t="inlineStr">
        <is>
          <t>INDICADOR!E18:E23</t>
        </is>
      </c>
      <c r="C3" s="5" t="inlineStr">
        <is>
          <t>Fórmulas com referências fixas (M4*C3*C5+…); AIR e ARR repetem a conta, as outras 4 dimensões usam outra forma.</t>
        </is>
      </c>
      <c r="D3" s="5" t="inlineStr">
        <is>
          <t>Difícil estender ou auditar; erro de célula passa despercebido.</t>
        </is>
      </c>
      <c r="E3" s="5" t="inlineStr">
        <is>
          <t>Uma única fórmula por critério (Cálculo), parâmetros nomeados (v_ini, v_ger, v_mc).</t>
        </is>
      </c>
    </row>
    <row r="4">
      <c r="A4" s="5" t="n">
        <v>3</v>
      </c>
      <c r="B4" s="5" t="inlineStr">
        <is>
          <t>Abas AIR/PS/Estoque/Agenda/Processo/ARR</t>
        </is>
      </c>
      <c r="C4" s="5" t="inlineStr">
        <is>
          <t>Nº de condições por nível é assimétrico (Processo: 1 em Gerenciado; Estoque: 4 em Gerenciado e 2 em MC; Capacitação AIR: 10).</t>
        </is>
      </c>
      <c r="D4" s="5" t="inlineStr">
        <is>
          <t>Cada condição pesa diferente conforme o critério; evoluir de nível "custa" mais em uns que em outros.</t>
        </is>
      </c>
      <c r="E4" s="5" t="inlineStr">
        <is>
          <t>Mantido (fidelidade à fonte) e exposto em Critérios. Decisão metodológica pendente: normalizar ou não.</t>
        </is>
      </c>
    </row>
    <row r="5">
      <c r="A5" s="5" t="n">
        <v>4</v>
      </c>
      <c r="B5" s="5" t="inlineStr">
        <is>
          <t>Todas</t>
        </is>
      </c>
      <c r="C5" s="5" t="inlineStr">
        <is>
          <t>Nível "Inexistente" não tem condições (é ausência do Inicial) e a regra de cascata não está escrita.</t>
        </is>
      </c>
      <c r="D5" s="5" t="inlineStr">
        <is>
          <t>Dois avaliadores podem enquadrar o mesmo órgão em níveis diferentes.</t>
        </is>
      </c>
      <c r="E5" s="5" t="inlineStr">
        <is>
          <t>Cascata documentada em LEIA-ME e implementada em fórmula.</t>
        </is>
      </c>
    </row>
    <row r="6">
      <c r="A6" s="5" t="n">
        <v>5</v>
      </c>
      <c r="B6" s="5" t="inlineStr">
        <is>
          <t>INDICADOR!M4:M10</t>
        </is>
      </c>
      <c r="C6" s="5" t="inlineStr">
        <is>
          <t>Escala 0 / 0,35 / 0,70 / 1,00 não é linear e está só implícita nas células.</t>
        </is>
      </c>
      <c r="D6" s="5" t="inlineStr">
        <is>
          <t>Mudança de escala exige editar fórmulas.</t>
        </is>
      </c>
      <c r="E6" s="5" t="inlineStr">
        <is>
          <t>Parâmetros editáveis e nomeados.</t>
        </is>
      </c>
    </row>
    <row r="7">
      <c r="A7" s="5" t="n">
        <v>6</v>
      </c>
      <c r="B7" s="5" t="inlineStr">
        <is>
          <t>MATRIZ × INDICADOR</t>
        </is>
      </c>
      <c r="C7" s="5" t="inlineStr">
        <is>
          <t>Mesmos textos de nível nas duas abas; linhas formatadas até Z1000.</t>
        </is>
      </c>
      <c r="D7" s="5" t="inlineStr">
        <is>
          <t>Duplicação; arquivo de 232 KB para 73 condições.</t>
        </is>
      </c>
      <c r="E7" s="5" t="inlineStr">
        <is>
          <t>Fonte única na aba Condições.</t>
        </is>
      </c>
    </row>
    <row r="8">
      <c r="A8" s="5" t="n">
        <v>7</v>
      </c>
      <c r="B8" s="5" t="inlineStr">
        <is>
          <t>Textos (vários)</t>
        </is>
      </c>
      <c r="C8" s="5" t="inlineStr">
        <is>
          <t>Erros: "equadramento", "intermediario", "de 25% da 49%", "junho de2020", "Participação   Social" (3 espaços).</t>
        </is>
      </c>
      <c r="D8" s="5" t="inlineStr">
        <is>
          <t>Ruído em busca/relatórios.</t>
        </is>
      </c>
      <c r="E8" s="5" t="inlineStr">
        <is>
          <t>Corrigidos na coluna de trabalho; texto original preservado na última coluna de Condições.</t>
        </is>
      </c>
    </row>
    <row r="9">
      <c r="A9" s="5" t="n">
        <v>8</v>
      </c>
      <c r="B9" s="5" t="inlineStr">
        <is>
          <t>AIR!E3:G7</t>
        </is>
      </c>
      <c r="C9" s="5" t="inlineStr">
        <is>
          <t>Tabela solta ("Total MINFRA 102 / básico 61 = 0,60 / intermediário 52 = 0,51 / avançado 0 / ARR 0") sem ano nem fonte.</t>
        </is>
      </c>
      <c r="D9" s="5" t="inlineStr">
        <is>
          <t>Dado de capacitação de um órgão sem rastreabilidade.</t>
        </is>
      </c>
      <c r="E9" s="5" t="inlineStr">
        <is>
          <t>Não importado. Se for evidência, entra em Avaliação (AIR_CAP) com URL/documento e data.</t>
        </is>
      </c>
    </row>
    <row r="10">
      <c r="A10" s="5" t="n">
        <v>9</v>
      </c>
      <c r="B10" s="5" t="inlineStr">
        <is>
          <t>AIR!A4:C6 (Capacitação)</t>
        </is>
      </c>
      <c r="C10" s="5" t="inlineStr">
        <is>
          <t>Faixas inconsistentes entre níveis (ex.: básico 50–74% no Inicial, 75% no Gerenciado; intermediário/avançado misturados) e item IV só em Gerenciado.</t>
        </is>
      </c>
      <c r="D10" s="5" t="inlineStr">
        <is>
          <t>Confunde o enquadramento; difícil medir.</t>
        </is>
      </c>
      <c r="E10" s="5" t="inlineStr">
        <is>
          <t>Mantidas como estão; sugerido transformar em indicador numérico único (% por nível de capacitação).</t>
        </is>
      </c>
    </row>
    <row r="11">
      <c r="A11" s="5" t="n">
        <v>10</v>
      </c>
      <c r="B11" s="5" t="inlineStr">
        <is>
          <t>Base legal</t>
        </is>
      </c>
      <c r="C11" s="5" t="inlineStr">
        <is>
          <t>A planilha não cita artigo por dimensão; PS e ARR exigem conferência (Lei 13.848/2019 arts. 9º–11; Decreto 10.411/2020).</t>
        </is>
      </c>
      <c r="D11" s="5" t="inlineStr">
        <is>
          <t>Risco de citação errada em ranking público.</t>
        </is>
      </c>
      <c r="E11" s="5" t="inlineStr">
        <is>
          <t>Coluna "Base legal conferida?" = Não até revisão.</t>
        </is>
      </c>
    </row>
    <row r="12">
      <c r="A12" s="5" t="n">
        <v>11</v>
      </c>
      <c r="B12" s="5" t="inlineStr">
        <is>
          <t>Capacitação (AIR e ARR)</t>
        </is>
      </c>
      <c r="C12" s="5" t="inlineStr">
        <is>
          <t>São 16 das 73 condições e só dado interno as comprova.</t>
        </is>
      </c>
      <c r="D12" s="5" t="inlineStr">
        <is>
          <t>Nota comprovada por fonte pública tem teto abaixo de 100.</t>
        </is>
      </c>
      <c r="E12" s="5" t="inlineStr">
        <is>
          <t>Teto exposto na aba Ranking.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2026-10-09T03:03:21Z</dcterms:created>
  <dcterms:modified xmlns:dcterms="http://purl.org/dc/terms/" xmlns:xsi="http://www.w3.org/2001/XMLSchema-instance" xsi:type="dcterms:W3CDTF">2026-10-09T03:03:21Z</dcterms:modified>
</cp:coreProperties>
</file>