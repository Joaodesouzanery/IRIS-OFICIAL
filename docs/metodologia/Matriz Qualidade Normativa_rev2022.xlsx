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4"/>
    <sheet state="visible" name="INDICADOR" sheetId="2" r:id="rId5"/>
    <sheet state="visible" name="AIR" sheetId="3" r:id="rId6"/>
    <sheet state="visible" name="PS" sheetId="4" r:id="rId7"/>
    <sheet state="visible" name="Estoque" sheetId="5" r:id="rId8"/>
    <sheet state="visible" name="Agenda" sheetId="6" r:id="rId9"/>
    <sheet state="visible" name="Processo" sheetId="7" r:id="rId10"/>
    <sheet state="visible" name="ARR" sheetId="8" r:id="rId11"/>
  </sheets>
  <definedNames/>
  <calcPr/>
  <extLst>
    <ext uri="GoogleSheetsCustomDataVersion2">
      <go:sheetsCustomData xmlns:go="http://customooxmlschemas.google.com/" r:id="rId12" roundtripDataChecksum="tJJ5KeYSksBrWRXRFo8EUoYh8JQqVW7k5fB18RxTeMA="/>
    </ext>
  </extLst>
</workbook>
</file>

<file path=xl/sharedStrings.xml><?xml version="1.0" encoding="utf-8"?>
<sst xmlns="http://schemas.openxmlformats.org/spreadsheetml/2006/main" count="224" uniqueCount="147">
  <si>
    <t>MATRIZ DE AVALIAÇÃO DA MATURIDADE DA QUALIDADE NORMATIVA</t>
  </si>
  <si>
    <t>Melhoria Contínua</t>
  </si>
  <si>
    <t>Plano de capacitação em AIR estabelecido e em prática</t>
  </si>
  <si>
    <t xml:space="preserve">Critérios objetivos estabelecidos para classificação quanto ao nível de impacto e complexidade das AIRs </t>
  </si>
  <si>
    <t>AIRs de alto impacto/alta complexidade são submetidas à participação social prévia e posterior</t>
  </si>
  <si>
    <t>Boas práticas consolidadas no órgão de modo que a efetividade do evento de Participação Social é mensurada.</t>
  </si>
  <si>
    <t>Processos de gestão de estoque integrados ao planejamento normativo e aos processos de transparência</t>
  </si>
  <si>
    <t>Processos da Agenda Regulatória integrados ao planejamento e à gestão do órgão</t>
  </si>
  <si>
    <t>Indicadores de processo normativo monitorados, e resultados utilizados para a melhoria contínua do processo, integrando o processo normativo à gestão estratégica da instituição</t>
  </si>
  <si>
    <t>Plano de capacitação em ARR estabelecido e em prática, com 75% dos servidores capacitados</t>
  </si>
  <si>
    <t>Agenda de ARR construída com participação social e  integrada com a Agenda Regulatória</t>
  </si>
  <si>
    <t xml:space="preserve">A execução da Agenda de ARR é  monitorada e há processo contínuo de avaliação e melhoria do processo de elaboração de ARR </t>
  </si>
  <si>
    <t>Gerenciado</t>
  </si>
  <si>
    <t>Servidores capacitados em nível introdutório, intermediário e avançado</t>
  </si>
  <si>
    <t xml:space="preserve">Há manual instituindo a aplicabilidade institucional da AIR. </t>
  </si>
  <si>
    <t>AIR é realizada sistematicamente, com participação social posterior</t>
  </si>
  <si>
    <t>A instituição possui manual de procedimentos e divulga de forma adequada as informações</t>
  </si>
  <si>
    <t>Análise qualitativa dos atos normativos publicados pelo órgão</t>
  </si>
  <si>
    <t>Elaboração, atualização e acompanhamento da Agenda Regulatória institucionalizados</t>
  </si>
  <si>
    <t>As intervenções de participação social estão claramente inseridas no processo</t>
  </si>
  <si>
    <t>50% dos servidores capacitados</t>
  </si>
  <si>
    <t>ARR institucionalizada no órgão</t>
  </si>
  <si>
    <t>ARRs de alto impacto/alta complexidade foram submetidas a participação social.</t>
  </si>
  <si>
    <t>Inicial</t>
  </si>
  <si>
    <t>Pequena quantidade de servidores com capacitação introdutória</t>
  </si>
  <si>
    <t>AIR institucionalizada conforme Decreto 10.411/2020</t>
  </si>
  <si>
    <t>AIR é sempre realizada e a dispensa justificada</t>
  </si>
  <si>
    <t>A instituição atende ao disposto na legislação</t>
  </si>
  <si>
    <t>Levantamento quantitativo dos atos normativos publicados pelo órgão</t>
  </si>
  <si>
    <t>Existe Agenda Regulatória no órgão</t>
  </si>
  <si>
    <t>Há documento que institucionaliza o processo normativo</t>
  </si>
  <si>
    <t>25% dos servidores capacitados</t>
  </si>
  <si>
    <t>Agenda de ARR é publicada</t>
  </si>
  <si>
    <t>ARRs são publicadas e acessíveis ao público</t>
  </si>
  <si>
    <t>Inexistente</t>
  </si>
  <si>
    <t>Não há servidores capacitados em AIR no órgão</t>
  </si>
  <si>
    <t>Não há metodologia de AIR estabelecida</t>
  </si>
  <si>
    <t>AIR realizada eventualmente</t>
  </si>
  <si>
    <t>A instituição não atende ao disposto na legislação</t>
  </si>
  <si>
    <t>Não há levantamento de atos normativos publicados pelo órgão</t>
  </si>
  <si>
    <t>Não há agenda regulatória</t>
  </si>
  <si>
    <t>Não é padronizado</t>
  </si>
  <si>
    <t>Não há servidores capacitados em ARR no órgão</t>
  </si>
  <si>
    <t>Não há metodologia de ARR estabelecida</t>
  </si>
  <si>
    <t>ARR é realizada esporadicamente</t>
  </si>
  <si>
    <t>Capacitação</t>
  </si>
  <si>
    <t>Metodologia</t>
  </si>
  <si>
    <t>Processo</t>
  </si>
  <si>
    <t>Participação   Social</t>
  </si>
  <si>
    <t>Gestão de Estoque Regulatório</t>
  </si>
  <si>
    <t>Agenda Regulatória</t>
  </si>
  <si>
    <t>Gestão do Processo Normativo</t>
  </si>
  <si>
    <t>AIR</t>
  </si>
  <si>
    <t>ARR</t>
  </si>
  <si>
    <t>Indicador de Maturidade da Qualidade Normativa - IMQN</t>
  </si>
  <si>
    <t>Participação Social</t>
  </si>
  <si>
    <t>INDICADOR DE MATURIDADE DA QUALIDADE NORMATIVA - IMQN</t>
  </si>
  <si>
    <t>Exemplo de cálculo no equadramento em negrito</t>
  </si>
  <si>
    <t>DIMENSÕES</t>
  </si>
  <si>
    <t>CLASSIFICAÇÃO</t>
  </si>
  <si>
    <t>PESO</t>
  </si>
  <si>
    <t>NOTA</t>
  </si>
  <si>
    <t>TOTAL</t>
  </si>
  <si>
    <t>-</t>
  </si>
  <si>
    <t>Capacitação AIR</t>
  </si>
  <si>
    <t>I – Plano de capacitação formalizado e em execução, incluindo permanente reciclagem em técnicas de AIR;</t>
  </si>
  <si>
    <t>I – Capacitações em AIR estão institucionalizadas, sem um plano formalizado;</t>
  </si>
  <si>
    <t>I - Capacitações em AIR não estão institucionalizadas;</t>
  </si>
  <si>
    <t>Total MINFRA</t>
  </si>
  <si>
    <t xml:space="preserve">II – 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 </t>
  </si>
  <si>
    <t>II – 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</si>
  <si>
    <t>II - 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de2020;</t>
  </si>
  <si>
    <t>Nível básico</t>
  </si>
  <si>
    <t>III – 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</si>
  <si>
    <t>III – 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</si>
  <si>
    <t>III – 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</si>
  <si>
    <t>Nível intermediario</t>
  </si>
  <si>
    <t>IV – de 25% da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</si>
  <si>
    <t>Nível avançado</t>
  </si>
  <si>
    <t>Metodologia AIR</t>
  </si>
  <si>
    <t xml:space="preserve">I – Critérios objetivos estabelecidos para classificação quanto ao nível de impacto e complexidade da AIR; </t>
  </si>
  <si>
    <t xml:space="preserve">I – Existência de manual ou ato normativo interno instituindo a aplicabilidade institucional da AIR; </t>
  </si>
  <si>
    <t>I - houve a publicação de normativo interno dispondo sobre a aplicação da AIR na instituição, conforme Decreto nº 10.411, de 2020.</t>
  </si>
  <si>
    <t>II – Metodologia contempla participação social prévia e posterior à elaboração da AIR, conforme complexidade do ato.</t>
  </si>
  <si>
    <t>II – Existência de manual ou ato normativo dispondo sobre a participação social posterior relativa à AIR.</t>
  </si>
  <si>
    <t>Processo AIR</t>
  </si>
  <si>
    <t>I – Há processo contínuo de avaliação e melhoria do processo de elaboração de AIR;</t>
  </si>
  <si>
    <t>I – Todas as AIRs são sempre realizadas conforme manual ou ato normativo interno e publicadas e acessíveis ao público na internet;</t>
  </si>
  <si>
    <t>I – AIR é sempre realizada e a dispensa justificada, conforme critérios objetivos estabelecidos, conforme Decreto nº 10.411, de 2020;</t>
  </si>
  <si>
    <t xml:space="preserve">II – Existência de instrumento de avaliação de qualidade das AIRs realizadas; </t>
  </si>
  <si>
    <t>II – O processo de elaboração de AIR está mapeado na instituição;</t>
  </si>
  <si>
    <t xml:space="preserve">II – Todas as AIRs são publicadas e acessíveis ao público na internet; </t>
  </si>
  <si>
    <t>III – As AIRs de alto impacto/alta complexidade são submetidas à participação social prévia e posterior.</t>
  </si>
  <si>
    <t>III – As AIRs são objeto de participação social posterior, conforme decisão técnica.</t>
  </si>
  <si>
    <t>III – Participação Social é realizada, conforme Decreto nº 10.411, de 2020.</t>
  </si>
  <si>
    <t>I – A instituição realiza eventos de participação social para a construção do conhecimento sobre dada matéria e para o desenvolvimento de propostas;</t>
  </si>
  <si>
    <t>I – Existência de manual ou ato normativo interno instituindo metodologia e procedimento de participação social;</t>
  </si>
  <si>
    <t>I - existe dispositivo interno orientando a participação social conforme disposto na legislação específica vigente, tais como as Leis nº 13.848, de 25 de junho de 2019 e nº 13.874, de 20 de setembro de 2019 e o Decreto nº 10.411, de 2020.</t>
  </si>
  <si>
    <t>II – Relatórios da Ouvidoria, relatórios do portal consumidor.gov, pesquisas de satisfação e dados de atendimento são utilizados para subsidiar as decisões regulatórias;</t>
  </si>
  <si>
    <t>II – Os relatórios da Ouvidoria e os relatórios do portal consumidor.gov são utilizados para subsidiar as decisões regulatórias;</t>
  </si>
  <si>
    <t>III – Todos os instrumentos, processos e relatórios contendo as contribuições analisadas são divulgados no portal do órgão e/ou plataforma Participa Mais Brasil;</t>
  </si>
  <si>
    <t>III – Todas as informações relativas aos processos em andamento são divulgadas no portal do órgão e/ou plataforma Participa Mais Brasil;</t>
  </si>
  <si>
    <t>IV – A efetividade do evento de participação social é mensurada, conforme metodologia instituída.</t>
  </si>
  <si>
    <t>IV – A efetividade do evento de participação social é avaliada de forma intuitiva.</t>
  </si>
  <si>
    <t>I – As alterações do estoque regulatório da instituição são priorizadas por meio de uma agenda regulatória;</t>
  </si>
  <si>
    <t>I – Normas publicadas e disponíveis de maneira sistematizada para consulta pública no portal gov.br;</t>
  </si>
  <si>
    <t>I – Normas publicadas e disponíveis de maneira sistematizada para consulta pública na internet;</t>
  </si>
  <si>
    <t>II – Todas as novas normas passam pela análise de consolidação e compatibilização de normas vigentes.</t>
  </si>
  <si>
    <t>II – Foi realizado levantamento quantitativo de todas as normas do órgão, bem como análise qualitativa, indexação e classificação por tema;</t>
  </si>
  <si>
    <t>II – Foi realizado levantamento quantitativo de todas as normas do órgão.</t>
  </si>
  <si>
    <t>III – Para toda a nova norma de alto impacto/alta complexidade foi estimado o fardo regulatório; e</t>
  </si>
  <si>
    <t>IV – Existe manutenção da consolidação normativa, conforme art. 19 do Decreto nº 10.139, de 28 de novembro de 2019.</t>
  </si>
  <si>
    <t>I – A elaboração da agenda regulatória tem ampla participação social, a qual é analisada, respondida e divulgada;</t>
  </si>
  <si>
    <t>I – A elaboração da agenda regulatória tem ampla participação social, a qual é analisada, porém não respondida e divulgada;</t>
  </si>
  <si>
    <t xml:space="preserve">I – Os temas da agenda regulatória são elencados e priorizados pelos gestores da agência;
</t>
  </si>
  <si>
    <t>II – Os projetos da Agenda Regulatória estão aderentes ao planejamento estratégico vigente e estão correlacionados ao Plano de Gestão Anual;</t>
  </si>
  <si>
    <t>II – O Ministério Setorial é oficiado, por meio do Ministro e da Secretaria Finalística, quando da abertura do processo de participação social. O Ministério deve oficiar as agências reguladoras vinculadas, visando a integração das agendas;</t>
  </si>
  <si>
    <t>II – É avaliada a aderência da proposta de Agenda às políticas públicas.</t>
  </si>
  <si>
    <t>III - Cumprimento de, no mínimo, 80% da Agenda Regulatória;</t>
  </si>
  <si>
    <t>III – Cumprimento de 50% a 79% da Agenda Regulatória;</t>
  </si>
  <si>
    <t>IV – A execução da Agenda Regulatória é periodicamente monitorada e divulgada.</t>
  </si>
  <si>
    <t>IV – A execução da Agenda Regulatória é periodicamente monitorada.</t>
  </si>
  <si>
    <t>I – Indicadores de processo normativo estabelecidos e monitorados;</t>
  </si>
  <si>
    <t>I - as intervenções de participação social estão claramente inseridas no processo.</t>
  </si>
  <si>
    <t xml:space="preserve">I – O fluxo do processo normativo é formalizado de forma bem definida e clara; </t>
  </si>
  <si>
    <t>II – Há processo contínuo de avaliação e melhoria do processo normativo, utilizando o resultado dos indicadores.</t>
  </si>
  <si>
    <t>II – As instâncias de aprovação estabelecidas são claras e formalizadas.</t>
  </si>
  <si>
    <t>Capacitação ARR</t>
  </si>
  <si>
    <t>I – Plano de capacitação formalizado e em execução, incluindo permanente reciclagem em ARR;</t>
  </si>
  <si>
    <t xml:space="preserve">I – Capacitações institucionalizadas, sem um plano formalizado; </t>
  </si>
  <si>
    <t>I – Capacitações não estão institucionalizadas;</t>
  </si>
  <si>
    <t>II – No mínimo, 75% dos servidores envolvidos em elaboração de regulação capacitados em ARR.</t>
  </si>
  <si>
    <t>II – de 50% a 74% dos servidores envolvidos em elaboração de regulação capacitados em ARR;</t>
  </si>
  <si>
    <t>II – de 25% a 49% dos servidores envolvidos em elaboração de regulação capacitados em ARR.</t>
  </si>
  <si>
    <t>Metodologia ARR</t>
  </si>
  <si>
    <t>I – Metodologia de elaboração de ARR contempla a participação social, conforme complexidade do ato;</t>
  </si>
  <si>
    <t>I – Existência de manual ou ato normativo instituindo a aplicabilidade de ARR no órgão;</t>
  </si>
  <si>
    <t>I - existe Agenda de ARR, conforme determinado no Decreto nº 10.411, de 2020.</t>
  </si>
  <si>
    <t>II – Existência de Agenda de ARR integrada com a Agenda Regulatória.</t>
  </si>
  <si>
    <t>II – Metodologia de elaboração da Agenda de ARR contempla participação social.</t>
  </si>
  <si>
    <t>Processo ARR</t>
  </si>
  <si>
    <t>I – Há processo contínuo de avaliação e melhoria do processo de elaboração de ARR;</t>
  </si>
  <si>
    <t>I – ARR é realizada conforme manual ou ato normativo;</t>
  </si>
  <si>
    <t>I – Todas as ARRs são publicadas e acessíveis ao público na internet;</t>
  </si>
  <si>
    <t>II – A execução da Agenda de ARR é periodicamente monitorada e divulgada.</t>
  </si>
  <si>
    <t>II – ARRs de alto impacto/alta complexidade foram submetidas à participação social.</t>
  </si>
  <si>
    <t>II – A agenda de ARR está publicada no site do órgão.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</si>
</sst>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theme="1"/>
      <name val="Calibri"/>
    </font>
    <font>
      <b/>
      <sz val="11.0"/>
      <color theme="1"/>
      <name val="Calibri"/>
    </font>
    <font/>
    <font>
      <b/>
      <sz val="14.0"/>
      <color theme="1"/>
      <name val="Calibri"/>
    </font>
    <font>
      <sz val="11.0"/>
      <color rgb="FFFF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FFFF99"/>
        <bgColor rgb="FFFFFF99"/>
      </patternFill>
    </fill>
    <fill>
      <patternFill patternType="solid">
        <fgColor rgb="FFF7CAAC"/>
        <bgColor rgb="FFF7CAAC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BDD6EE"/>
        <bgColor rgb="FFBDD6EE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</fills>
  <borders count="10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2" fillId="5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2" fillId="6" fontId="3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ont="1">
      <alignment horizontal="center" shrinkToFit="0" vertical="center" wrapText="1"/>
    </xf>
    <xf borderId="5" fillId="6" fontId="3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0" fontId="5" numFmtId="0" xfId="0" applyAlignment="1" applyFont="1">
      <alignment horizontal="center" shrinkToFit="0" vertical="center" wrapText="1"/>
    </xf>
    <xf borderId="2" fillId="7" fontId="1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4" fillId="6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5" fontId="1" numFmtId="0" xfId="0" applyAlignment="1" applyBorder="1" applyFont="1">
      <alignment horizontal="center" shrinkToFit="0" vertical="center" wrapText="1"/>
    </xf>
    <xf borderId="2" fillId="8" fontId="1" numFmtId="0" xfId="0" applyAlignment="1" applyBorder="1" applyFill="1" applyFont="1">
      <alignment horizontal="center" shrinkToFit="0" vertical="center" wrapText="1"/>
    </xf>
    <xf borderId="4" fillId="8" fontId="1" numFmtId="0" xfId="0" applyAlignment="1" applyBorder="1" applyFont="1">
      <alignment horizontal="center" shrinkToFit="0" vertical="center" wrapText="1"/>
    </xf>
    <xf borderId="5" fillId="8" fontId="1" numFmtId="0" xfId="0" applyAlignment="1" applyBorder="1" applyFont="1">
      <alignment horizontal="center" shrinkToFit="0" vertical="center" wrapText="1"/>
    </xf>
    <xf borderId="5" fillId="6" fontId="1" numFmtId="0" xfId="0" applyAlignment="1" applyBorder="1" applyFont="1">
      <alignment horizontal="center"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5" fillId="8" fontId="5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2" fillId="8" fontId="5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9" fontId="3" numFmtId="0" xfId="0" applyAlignment="1" applyBorder="1" applyFill="1" applyFont="1">
      <alignment horizontal="center"/>
    </xf>
    <xf borderId="0" fillId="0" fontId="3" numFmtId="0" xfId="0" applyFont="1"/>
    <xf borderId="5" fillId="9" fontId="3" numFmtId="0" xfId="0" applyAlignment="1" applyBorder="1" applyFont="1">
      <alignment horizontal="center" shrinkToFit="0" wrapText="1"/>
    </xf>
    <xf borderId="0" fillId="0" fontId="1" numFmtId="0" xfId="0" applyFont="1"/>
    <xf borderId="2" fillId="0" fontId="1" numFmtId="0" xfId="0" applyAlignment="1" applyBorder="1" applyFont="1">
      <alignment shrinkToFit="0" wrapText="1"/>
    </xf>
    <xf borderId="0" fillId="0" fontId="1" numFmtId="9" xfId="0" applyFont="1" applyNumberFormat="1"/>
    <xf borderId="2" fillId="0" fontId="1" numFmtId="0" xfId="0" applyAlignment="1" applyBorder="1" applyFont="1">
      <alignment shrinkToFit="0" vertical="center" wrapText="1"/>
    </xf>
    <xf borderId="2" fillId="0" fontId="1" numFmtId="9" xfId="0" applyAlignment="1" applyBorder="1" applyFont="1" applyNumberFormat="1">
      <alignment shrinkToFit="0" wrapText="1"/>
    </xf>
    <xf borderId="2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wrapText="1"/>
    </xf>
    <xf borderId="2" fillId="10" fontId="3" numFmtId="0" xfId="0" applyAlignment="1" applyBorder="1" applyFill="1" applyFont="1">
      <alignment horizontal="center"/>
    </xf>
    <xf borderId="2" fillId="0" fontId="1" numFmtId="0" xfId="0" applyAlignment="1" applyBorder="1" applyFont="1">
      <alignment vertical="center"/>
    </xf>
    <xf borderId="2" fillId="0" fontId="1" numFmtId="0" xfId="0" applyBorder="1" applyFont="1"/>
    <xf borderId="0" fillId="0" fontId="6" numFmtId="0" xfId="0" applyFont="1"/>
    <xf borderId="2" fillId="10" fontId="3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2" fillId="0" fontId="1" numFmtId="0" xfId="0" applyAlignment="1" applyBorder="1" applyFont="1">
      <alignment horizontal="left" shrinkToFit="0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ÍNDICE DE MATURIDADE DE QUALIDADE NORMATIVA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INDICADOR!$C$18:$C$23</c:f>
            </c:strRef>
          </c:cat>
          <c:val>
            <c:numRef>
              <c:f>INDICADOR!$E$18:$E$23</c:f>
              <c:numCache/>
            </c:numRef>
          </c:val>
          <c:smooth val="1"/>
        </c:ser>
        <c:axId val="1193745707"/>
        <c:axId val="1149328477"/>
      </c:radarChart>
      <c:catAx>
        <c:axId val="1193745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9328477"/>
      </c:catAx>
      <c:valAx>
        <c:axId val="1149328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3745707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1152525</xdr:colOff>
      <xdr:row>15</xdr:row>
      <xdr:rowOff>9525</xdr:rowOff>
    </xdr:from>
    <xdr:ext cx="4714875" cy="2990850"/>
    <xdr:graphicFrame>
      <xdr:nvGraphicFramePr>
        <xdr:cNvPr id="154059398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4.29"/>
    <col customWidth="1" min="3" max="7" width="16.71"/>
    <col customWidth="1" min="8" max="8" width="17.71"/>
    <col customWidth="1" min="9" max="12" width="16.71"/>
    <col customWidth="1" min="13" max="26" width="9.14"/>
  </cols>
  <sheetData>
    <row r="1" ht="14.25" customHeight="1">
      <c r="A1" s="1"/>
      <c r="B1" s="2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2.75" customHeight="1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01.25" customHeight="1">
      <c r="A4" s="1"/>
      <c r="B4" s="5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21</v>
      </c>
      <c r="L4" s="6" t="s">
        <v>22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78.75" customHeight="1">
      <c r="A5" s="1"/>
      <c r="B5" s="7" t="s">
        <v>23</v>
      </c>
      <c r="C5" s="8" t="s">
        <v>24</v>
      </c>
      <c r="D5" s="8" t="s">
        <v>25</v>
      </c>
      <c r="E5" s="8" t="s">
        <v>26</v>
      </c>
      <c r="F5" s="8" t="s">
        <v>27</v>
      </c>
      <c r="G5" s="8" t="s">
        <v>28</v>
      </c>
      <c r="H5" s="8" t="s">
        <v>29</v>
      </c>
      <c r="I5" s="8" t="s">
        <v>30</v>
      </c>
      <c r="J5" s="8" t="s">
        <v>31</v>
      </c>
      <c r="K5" s="8" t="s">
        <v>32</v>
      </c>
      <c r="L5" s="8" t="s">
        <v>33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81.75" customHeight="1">
      <c r="A6" s="1"/>
      <c r="B6" s="9" t="s">
        <v>34</v>
      </c>
      <c r="C6" s="10" t="s">
        <v>35</v>
      </c>
      <c r="D6" s="10" t="s">
        <v>36</v>
      </c>
      <c r="E6" s="10" t="s">
        <v>37</v>
      </c>
      <c r="F6" s="10" t="s">
        <v>38</v>
      </c>
      <c r="G6" s="10" t="s">
        <v>39</v>
      </c>
      <c r="H6" s="10" t="s">
        <v>40</v>
      </c>
      <c r="I6" s="10" t="s">
        <v>41</v>
      </c>
      <c r="J6" s="10" t="s">
        <v>42</v>
      </c>
      <c r="K6" s="10" t="s">
        <v>43</v>
      </c>
      <c r="L6" s="10" t="s">
        <v>44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1"/>
      <c r="C7" s="12" t="s">
        <v>45</v>
      </c>
      <c r="D7" s="12" t="s">
        <v>46</v>
      </c>
      <c r="E7" s="12" t="s">
        <v>47</v>
      </c>
      <c r="F7" s="13" t="s">
        <v>48</v>
      </c>
      <c r="G7" s="13" t="s">
        <v>49</v>
      </c>
      <c r="H7" s="13" t="s">
        <v>50</v>
      </c>
      <c r="I7" s="13" t="s">
        <v>51</v>
      </c>
      <c r="J7" s="12" t="s">
        <v>45</v>
      </c>
      <c r="K7" s="12" t="s">
        <v>46</v>
      </c>
      <c r="L7" s="12" t="s">
        <v>47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4" t="s">
        <v>52</v>
      </c>
      <c r="D8" s="15"/>
      <c r="E8" s="16"/>
      <c r="F8" s="17"/>
      <c r="G8" s="17"/>
      <c r="H8" s="17"/>
      <c r="I8" s="17"/>
      <c r="J8" s="14" t="s">
        <v>53</v>
      </c>
      <c r="K8" s="15"/>
      <c r="L8" s="1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1:L1"/>
    <mergeCell ref="F7:F8"/>
    <mergeCell ref="G7:G8"/>
    <mergeCell ref="H7:H8"/>
    <mergeCell ref="I7:I8"/>
    <mergeCell ref="C8:E8"/>
    <mergeCell ref="J8:L8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7.57"/>
    <col customWidth="1" min="3" max="12" width="22.0"/>
    <col customWidth="1" min="13" max="13" width="6.14"/>
    <col customWidth="1" min="14" max="26" width="9.14"/>
  </cols>
  <sheetData>
    <row r="1" ht="27.75" customHeight="1">
      <c r="A1" s="1"/>
      <c r="B1" s="18" t="s">
        <v>54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9">
        <v>0.3</v>
      </c>
      <c r="D3" s="19">
        <v>0.35</v>
      </c>
      <c r="E3" s="19">
        <v>0.35</v>
      </c>
      <c r="F3" s="1"/>
      <c r="G3" s="1"/>
      <c r="H3" s="1"/>
      <c r="I3" s="1"/>
      <c r="J3" s="19">
        <v>0.3</v>
      </c>
      <c r="K3" s="19">
        <v>0.35</v>
      </c>
      <c r="L3" s="19">
        <v>0.35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20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21">
        <v>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7"/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17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22" t="s">
        <v>12</v>
      </c>
      <c r="C6" s="6" t="s">
        <v>13</v>
      </c>
      <c r="D6" s="6" t="s">
        <v>14</v>
      </c>
      <c r="E6" s="6" t="s">
        <v>15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  <c r="K6" s="6" t="s">
        <v>21</v>
      </c>
      <c r="L6" s="6" t="s">
        <v>22</v>
      </c>
      <c r="M6" s="21">
        <v>0.7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7"/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1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7.0" customHeight="1">
      <c r="A8" s="1"/>
      <c r="B8" s="23" t="s">
        <v>23</v>
      </c>
      <c r="C8" s="8" t="s">
        <v>24</v>
      </c>
      <c r="D8" s="8" t="s">
        <v>25</v>
      </c>
      <c r="E8" s="8" t="s">
        <v>26</v>
      </c>
      <c r="F8" s="8" t="s">
        <v>27</v>
      </c>
      <c r="G8" s="8" t="s">
        <v>28</v>
      </c>
      <c r="H8" s="8" t="s">
        <v>29</v>
      </c>
      <c r="I8" s="8" t="s">
        <v>30</v>
      </c>
      <c r="J8" s="8" t="s">
        <v>31</v>
      </c>
      <c r="K8" s="8" t="s">
        <v>32</v>
      </c>
      <c r="L8" s="8" t="s">
        <v>33</v>
      </c>
      <c r="M8" s="21">
        <v>0.35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7"/>
      <c r="C9" s="8">
        <v>0.0</v>
      </c>
      <c r="D9" s="8">
        <v>0.0</v>
      </c>
      <c r="E9" s="8">
        <v>0.0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0.0</v>
      </c>
      <c r="L9" s="8">
        <v>0.0</v>
      </c>
      <c r="M9" s="17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4" t="s">
        <v>34</v>
      </c>
      <c r="C10" s="10" t="s">
        <v>35</v>
      </c>
      <c r="D10" s="10" t="s">
        <v>36</v>
      </c>
      <c r="E10" s="10" t="s">
        <v>37</v>
      </c>
      <c r="F10" s="10" t="s">
        <v>38</v>
      </c>
      <c r="G10" s="10" t="s">
        <v>39</v>
      </c>
      <c r="H10" s="10" t="s">
        <v>40</v>
      </c>
      <c r="I10" s="10" t="s">
        <v>41</v>
      </c>
      <c r="J10" s="10" t="s">
        <v>42</v>
      </c>
      <c r="K10" s="10" t="s">
        <v>43</v>
      </c>
      <c r="L10" s="10" t="s">
        <v>44</v>
      </c>
      <c r="M10" s="21">
        <v>0.0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7"/>
      <c r="C11" s="10">
        <v>0.0</v>
      </c>
      <c r="D11" s="10">
        <v>0.0</v>
      </c>
      <c r="E11" s="10">
        <v>0.0</v>
      </c>
      <c r="F11" s="10">
        <v>0.0</v>
      </c>
      <c r="G11" s="10">
        <v>0.0</v>
      </c>
      <c r="H11" s="10">
        <v>0.0</v>
      </c>
      <c r="I11" s="10">
        <v>0.0</v>
      </c>
      <c r="J11" s="10">
        <v>0.0</v>
      </c>
      <c r="K11" s="10">
        <v>0.0</v>
      </c>
      <c r="L11" s="10">
        <v>0.0</v>
      </c>
      <c r="M11" s="1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1"/>
      <c r="C12" s="25" t="s">
        <v>45</v>
      </c>
      <c r="D12" s="25" t="s">
        <v>46</v>
      </c>
      <c r="E12" s="25" t="s">
        <v>47</v>
      </c>
      <c r="F12" s="26" t="s">
        <v>55</v>
      </c>
      <c r="G12" s="26" t="s">
        <v>49</v>
      </c>
      <c r="H12" s="26" t="s">
        <v>50</v>
      </c>
      <c r="I12" s="26" t="s">
        <v>51</v>
      </c>
      <c r="J12" s="25" t="s">
        <v>45</v>
      </c>
      <c r="K12" s="25" t="s">
        <v>46</v>
      </c>
      <c r="L12" s="25" t="s">
        <v>47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27" t="s">
        <v>52</v>
      </c>
      <c r="D13" s="15"/>
      <c r="E13" s="16"/>
      <c r="F13" s="17"/>
      <c r="G13" s="17"/>
      <c r="H13" s="17"/>
      <c r="I13" s="17"/>
      <c r="J13" s="27" t="s">
        <v>53</v>
      </c>
      <c r="K13" s="15"/>
      <c r="L13" s="1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28">
        <v>25.0</v>
      </c>
      <c r="D14" s="15"/>
      <c r="E14" s="16"/>
      <c r="F14" s="29">
        <v>15.0</v>
      </c>
      <c r="G14" s="29">
        <v>20.0</v>
      </c>
      <c r="H14" s="29">
        <v>15.0</v>
      </c>
      <c r="I14" s="29">
        <v>10.0</v>
      </c>
      <c r="J14" s="28">
        <v>15.0</v>
      </c>
      <c r="K14" s="15"/>
      <c r="L14" s="1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60.0" customHeight="1">
      <c r="A16" s="1"/>
      <c r="B16" s="30" t="s">
        <v>56</v>
      </c>
      <c r="C16" s="15"/>
      <c r="D16" s="15"/>
      <c r="E16" s="15"/>
      <c r="F16" s="15"/>
      <c r="G16" s="1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31" t="s">
        <v>57</v>
      </c>
      <c r="C17" s="30" t="s">
        <v>58</v>
      </c>
      <c r="D17" s="16"/>
      <c r="E17" s="32" t="s">
        <v>59</v>
      </c>
      <c r="F17" s="32" t="s">
        <v>60</v>
      </c>
      <c r="G17" s="32" t="s">
        <v>61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33"/>
      <c r="C18" s="34" t="str">
        <f>C13</f>
        <v>AIR</v>
      </c>
      <c r="D18" s="16"/>
      <c r="E18" s="35">
        <f>(M4*C3*C5+M6*C3*C7+M8*C3*C9+M10*C3*C11)+(D3*M4*D5+M6*D7*D3+M8*D3*D9+M10*D3*D11)+(E3*M4*E5+E3*M6*E7+E3*M8*E9+E3*M10*E11)</f>
        <v>0</v>
      </c>
      <c r="F18" s="35">
        <f>C14</f>
        <v>25</v>
      </c>
      <c r="G18" s="35">
        <f>E18*F18</f>
        <v>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33"/>
      <c r="C19" s="34" t="str">
        <f>F12</f>
        <v>Participação Social</v>
      </c>
      <c r="D19" s="16"/>
      <c r="E19" s="35">
        <f>M4*F5+M6*F7+M8*F9+M10*F11</f>
        <v>0</v>
      </c>
      <c r="F19" s="35">
        <f>F14</f>
        <v>15</v>
      </c>
      <c r="G19" s="35">
        <f t="shared" ref="G19:G23" si="1">F19*E19</f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33"/>
      <c r="C20" s="34" t="str">
        <f>G12</f>
        <v>Gestão de Estoque Regulatório</v>
      </c>
      <c r="D20" s="16"/>
      <c r="E20" s="35">
        <f>M4*G5+M6*G7+M8*G9+M10*G11</f>
        <v>0</v>
      </c>
      <c r="F20" s="35">
        <f>G14</f>
        <v>20</v>
      </c>
      <c r="G20" s="35">
        <f t="shared" si="1"/>
        <v>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33"/>
      <c r="C21" s="34" t="str">
        <f>H12</f>
        <v>Agenda Regulatória</v>
      </c>
      <c r="D21" s="16"/>
      <c r="E21" s="35">
        <f>M4*H5+M6*H7+M8*H9+M10*H11</f>
        <v>0</v>
      </c>
      <c r="F21" s="35">
        <f>H14</f>
        <v>15</v>
      </c>
      <c r="G21" s="35">
        <f t="shared" si="1"/>
        <v>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33"/>
      <c r="C22" s="34" t="str">
        <f>I12</f>
        <v>Gestão do Processo Normativo</v>
      </c>
      <c r="D22" s="16"/>
      <c r="E22" s="35">
        <f>M4*I5+M6*I7+M8*I9+M10*I11</f>
        <v>0</v>
      </c>
      <c r="F22" s="35">
        <f>I14</f>
        <v>10</v>
      </c>
      <c r="G22" s="35">
        <f t="shared" si="1"/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33"/>
      <c r="C23" s="34" t="str">
        <f>J13</f>
        <v>ARR</v>
      </c>
      <c r="D23" s="16"/>
      <c r="E23" s="35">
        <f>(J3*M4*J5+J3*M6*J7+J3*M8*J9+J3*M10*J11)+(K3*M4*K5+K3*M6*K7+K3*M8*K9+K3*M10*K11)+(L3*M4*L5+L3*M6*L7+L3*M8*L9+L3*M10*L11)</f>
        <v>0</v>
      </c>
      <c r="F23" s="35">
        <f>J14</f>
        <v>15</v>
      </c>
      <c r="G23" s="35">
        <f t="shared" si="1"/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7"/>
      <c r="C24" s="36" t="s">
        <v>62</v>
      </c>
      <c r="D24" s="16"/>
      <c r="E24" s="35" t="s">
        <v>63</v>
      </c>
      <c r="F24" s="35">
        <f t="shared" ref="F24:G24" si="2">SUM(F18:F23)</f>
        <v>100</v>
      </c>
      <c r="G24" s="37">
        <f t="shared" si="2"/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7">
    <mergeCell ref="M8:M9"/>
    <mergeCell ref="M10:M11"/>
    <mergeCell ref="B1:N1"/>
    <mergeCell ref="B4:B5"/>
    <mergeCell ref="M4:M5"/>
    <mergeCell ref="B6:B7"/>
    <mergeCell ref="M6:M7"/>
    <mergeCell ref="B8:B9"/>
    <mergeCell ref="B10:B11"/>
    <mergeCell ref="F12:F13"/>
    <mergeCell ref="G12:G13"/>
    <mergeCell ref="H12:H13"/>
    <mergeCell ref="I12:I13"/>
    <mergeCell ref="C13:E13"/>
    <mergeCell ref="J13:L13"/>
    <mergeCell ref="J14:L14"/>
    <mergeCell ref="C21:D21"/>
    <mergeCell ref="C22:D22"/>
    <mergeCell ref="C23:D23"/>
    <mergeCell ref="C24:D24"/>
    <mergeCell ref="C14:E14"/>
    <mergeCell ref="B16:G16"/>
    <mergeCell ref="B17:B24"/>
    <mergeCell ref="C17:D17"/>
    <mergeCell ref="C18:D18"/>
    <mergeCell ref="C19:D19"/>
    <mergeCell ref="C20:D20"/>
  </mergeCells>
  <printOptions horizontalCentered="1" verticalCentered="1"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3.29"/>
    <col customWidth="1" min="3" max="3" width="51.14"/>
    <col customWidth="1" min="4" max="4" width="12.14"/>
    <col customWidth="1" min="5" max="26" width="9.14"/>
  </cols>
  <sheetData>
    <row r="1" ht="14.25" customHeight="1">
      <c r="A1" s="38" t="s">
        <v>1</v>
      </c>
      <c r="B1" s="38" t="s">
        <v>12</v>
      </c>
      <c r="C1" s="38" t="s">
        <v>23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4.25" customHeight="1">
      <c r="A2" s="40" t="s">
        <v>64</v>
      </c>
      <c r="B2" s="15"/>
      <c r="C2" s="16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14.25" customHeight="1">
      <c r="A3" s="42" t="s">
        <v>65</v>
      </c>
      <c r="B3" s="42" t="s">
        <v>66</v>
      </c>
      <c r="C3" s="42" t="s">
        <v>67</v>
      </c>
      <c r="D3" s="41"/>
      <c r="E3" s="41" t="s">
        <v>68</v>
      </c>
      <c r="F3" s="41">
        <v>102.0</v>
      </c>
      <c r="G3" s="43">
        <v>1.0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4.25" customHeight="1">
      <c r="A4" s="42" t="s">
        <v>69</v>
      </c>
      <c r="B4" s="44" t="s">
        <v>70</v>
      </c>
      <c r="C4" s="42" t="s">
        <v>71</v>
      </c>
      <c r="D4" s="41"/>
      <c r="E4" s="41" t="s">
        <v>72</v>
      </c>
      <c r="F4" s="41">
        <v>61.0</v>
      </c>
      <c r="G4" s="43">
        <v>0.6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4.25" customHeight="1">
      <c r="A5" s="42" t="s">
        <v>73</v>
      </c>
      <c r="B5" s="42" t="s">
        <v>74</v>
      </c>
      <c r="C5" s="44" t="s">
        <v>75</v>
      </c>
      <c r="D5" s="41"/>
      <c r="E5" s="41" t="s">
        <v>76</v>
      </c>
      <c r="F5" s="41">
        <v>52.0</v>
      </c>
      <c r="G5" s="43">
        <v>0.51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4.25" customHeight="1">
      <c r="A6" s="42"/>
      <c r="B6" s="42" t="s">
        <v>77</v>
      </c>
      <c r="C6" s="45"/>
      <c r="D6" s="41"/>
      <c r="E6" s="41" t="s">
        <v>78</v>
      </c>
      <c r="F6" s="41">
        <v>0.0</v>
      </c>
      <c r="G6" s="43">
        <v>0.0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4.25" customHeight="1">
      <c r="A7" s="40" t="s">
        <v>79</v>
      </c>
      <c r="B7" s="15"/>
      <c r="C7" s="16"/>
      <c r="D7" s="41"/>
      <c r="E7" s="41" t="s">
        <v>53</v>
      </c>
      <c r="F7" s="41">
        <v>0.0</v>
      </c>
      <c r="G7" s="43">
        <v>0.0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4.25" customHeight="1">
      <c r="A8" s="46" t="s">
        <v>80</v>
      </c>
      <c r="B8" s="44" t="s">
        <v>81</v>
      </c>
      <c r="C8" s="42" t="s">
        <v>82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4.25" customHeight="1">
      <c r="A9" s="47" t="s">
        <v>83</v>
      </c>
      <c r="B9" s="44" t="s">
        <v>84</v>
      </c>
      <c r="C9" s="42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4.25" customHeight="1">
      <c r="A10" s="40" t="s">
        <v>85</v>
      </c>
      <c r="B10" s="15"/>
      <c r="C10" s="16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4.25" customHeight="1">
      <c r="A11" s="46" t="s">
        <v>86</v>
      </c>
      <c r="B11" s="46" t="s">
        <v>87</v>
      </c>
      <c r="C11" s="46" t="s">
        <v>88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4.25" customHeight="1">
      <c r="A12" s="46" t="s">
        <v>89</v>
      </c>
      <c r="B12" s="47" t="s">
        <v>90</v>
      </c>
      <c r="C12" s="46" t="s">
        <v>91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32.25" customHeight="1">
      <c r="A13" s="46" t="s">
        <v>92</v>
      </c>
      <c r="B13" s="46" t="s">
        <v>93</v>
      </c>
      <c r="C13" s="46" t="s">
        <v>94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14.25" customHeight="1">
      <c r="A14" s="48"/>
      <c r="B14" s="41"/>
      <c r="C14" s="48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14.25" customHeight="1">
      <c r="A15" s="48"/>
      <c r="B15" s="41"/>
      <c r="C15" s="48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14.25" customHeight="1">
      <c r="A16" s="48"/>
      <c r="B16" s="41"/>
      <c r="C16" s="48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4.25" customHeight="1">
      <c r="A17" s="48"/>
      <c r="B17" s="41"/>
      <c r="C17" s="48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4.25" customHeight="1">
      <c r="A18" s="48"/>
      <c r="B18" s="41"/>
      <c r="C18" s="48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4.25" customHeight="1">
      <c r="A19" s="48"/>
      <c r="B19" s="41"/>
      <c r="C19" s="48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4.25" customHeight="1">
      <c r="A20" s="48"/>
      <c r="B20" s="41"/>
      <c r="C20" s="48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4.25" customHeight="1">
      <c r="A21" s="48"/>
      <c r="B21" s="41"/>
      <c r="C21" s="48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4.25" customHeight="1">
      <c r="A22" s="48"/>
      <c r="B22" s="41"/>
      <c r="C22" s="48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4.25" customHeight="1">
      <c r="A23" s="48"/>
      <c r="B23" s="41"/>
      <c r="C23" s="48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4.25" customHeight="1">
      <c r="A24" s="48"/>
      <c r="B24" s="41"/>
      <c r="C24" s="48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4.25" customHeight="1">
      <c r="A25" s="48"/>
      <c r="B25" s="41"/>
      <c r="C25" s="48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4.25" customHeight="1">
      <c r="A26" s="48"/>
      <c r="B26" s="41"/>
      <c r="C26" s="48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4.25" customHeight="1">
      <c r="A27" s="48"/>
      <c r="B27" s="41"/>
      <c r="C27" s="48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4.25" customHeight="1">
      <c r="A28" s="48"/>
      <c r="B28" s="41"/>
      <c r="C28" s="48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4.25" customHeight="1">
      <c r="A29" s="48"/>
      <c r="B29" s="41"/>
      <c r="C29" s="48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48"/>
      <c r="B30" s="41"/>
      <c r="C30" s="48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4.25" customHeight="1">
      <c r="A31" s="48"/>
      <c r="B31" s="41"/>
      <c r="C31" s="48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4.25" customHeight="1">
      <c r="A32" s="48"/>
      <c r="B32" s="41"/>
      <c r="C32" s="48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4.25" customHeight="1">
      <c r="A33" s="48"/>
      <c r="B33" s="41"/>
      <c r="C33" s="48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4.25" customHeight="1">
      <c r="A34" s="48"/>
      <c r="B34" s="41"/>
      <c r="C34" s="48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4.25" customHeight="1">
      <c r="A35" s="48"/>
      <c r="B35" s="41"/>
      <c r="C35" s="48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4.25" customHeight="1">
      <c r="A36" s="48"/>
      <c r="B36" s="41"/>
      <c r="C36" s="48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4.25" customHeight="1">
      <c r="A37" s="48"/>
      <c r="B37" s="41"/>
      <c r="C37" s="48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4.25" customHeight="1">
      <c r="A38" s="48"/>
      <c r="B38" s="41"/>
      <c r="C38" s="48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4.25" customHeight="1">
      <c r="A39" s="48"/>
      <c r="B39" s="41"/>
      <c r="C39" s="48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4.25" customHeight="1">
      <c r="A40" s="48"/>
      <c r="B40" s="41"/>
      <c r="C40" s="48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4.25" customHeight="1">
      <c r="A41" s="48"/>
      <c r="B41" s="41"/>
      <c r="C41" s="48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4.25" customHeight="1">
      <c r="A42" s="48"/>
      <c r="B42" s="41"/>
      <c r="C42" s="48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4.25" customHeight="1">
      <c r="A43" s="48"/>
      <c r="B43" s="41"/>
      <c r="C43" s="48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4.25" customHeight="1">
      <c r="A44" s="48"/>
      <c r="B44" s="41"/>
      <c r="C44" s="48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4.25" customHeight="1">
      <c r="A45" s="48"/>
      <c r="B45" s="41"/>
      <c r="C45" s="48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4.25" customHeight="1">
      <c r="A46" s="48"/>
      <c r="B46" s="41"/>
      <c r="C46" s="48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4.25" customHeight="1">
      <c r="A47" s="48"/>
      <c r="B47" s="41"/>
      <c r="C47" s="48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4.25" customHeight="1">
      <c r="A48" s="48"/>
      <c r="B48" s="41"/>
      <c r="C48" s="48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4.25" customHeight="1">
      <c r="A49" s="48"/>
      <c r="B49" s="41"/>
      <c r="C49" s="48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4.25" customHeight="1">
      <c r="A50" s="48"/>
      <c r="B50" s="41"/>
      <c r="C50" s="48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4.25" customHeight="1">
      <c r="A51" s="48"/>
      <c r="B51" s="41"/>
      <c r="C51" s="48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4.25" customHeight="1">
      <c r="A52" s="48"/>
      <c r="B52" s="41"/>
      <c r="C52" s="48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4.25" customHeight="1">
      <c r="A53" s="48"/>
      <c r="B53" s="41"/>
      <c r="C53" s="48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4.25" customHeight="1">
      <c r="A54" s="48"/>
      <c r="B54" s="41"/>
      <c r="C54" s="48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4.25" customHeight="1">
      <c r="A55" s="48"/>
      <c r="B55" s="41"/>
      <c r="C55" s="48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4.25" customHeight="1">
      <c r="A56" s="48"/>
      <c r="B56" s="41"/>
      <c r="C56" s="48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4.25" customHeight="1">
      <c r="A57" s="48"/>
      <c r="B57" s="41"/>
      <c r="C57" s="48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4.25" customHeight="1">
      <c r="A58" s="48"/>
      <c r="B58" s="41"/>
      <c r="C58" s="48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4.25" customHeight="1">
      <c r="A59" s="48"/>
      <c r="B59" s="41"/>
      <c r="C59" s="48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4.25" customHeight="1">
      <c r="A60" s="48"/>
      <c r="B60" s="41"/>
      <c r="C60" s="48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4.25" customHeight="1">
      <c r="A61" s="48"/>
      <c r="B61" s="41"/>
      <c r="C61" s="48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4.25" customHeight="1">
      <c r="A62" s="48"/>
      <c r="B62" s="41"/>
      <c r="C62" s="48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4.25" customHeight="1">
      <c r="A63" s="48"/>
      <c r="B63" s="41"/>
      <c r="C63" s="48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4.25" customHeight="1">
      <c r="A64" s="48"/>
      <c r="B64" s="41"/>
      <c r="C64" s="48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4.25" customHeight="1">
      <c r="A65" s="48"/>
      <c r="B65" s="41"/>
      <c r="C65" s="48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4.25" customHeight="1">
      <c r="A66" s="48"/>
      <c r="B66" s="41"/>
      <c r="C66" s="48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4.25" customHeight="1">
      <c r="A67" s="48"/>
      <c r="B67" s="41"/>
      <c r="C67" s="48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4.25" customHeight="1">
      <c r="A68" s="48"/>
      <c r="B68" s="41"/>
      <c r="C68" s="48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4.25" customHeight="1">
      <c r="A69" s="48"/>
      <c r="B69" s="41"/>
      <c r="C69" s="48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4.25" customHeight="1">
      <c r="A70" s="48"/>
      <c r="B70" s="41"/>
      <c r="C70" s="48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4.25" customHeight="1">
      <c r="A71" s="48"/>
      <c r="B71" s="41"/>
      <c r="C71" s="48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4.25" customHeight="1">
      <c r="A72" s="48"/>
      <c r="B72" s="41"/>
      <c r="C72" s="48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4.25" customHeight="1">
      <c r="A73" s="48"/>
      <c r="B73" s="41"/>
      <c r="C73" s="48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4.25" customHeight="1">
      <c r="A74" s="48"/>
      <c r="B74" s="41"/>
      <c r="C74" s="48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4.25" customHeight="1">
      <c r="A75" s="48"/>
      <c r="B75" s="41"/>
      <c r="C75" s="48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4.25" customHeight="1">
      <c r="A76" s="48"/>
      <c r="B76" s="41"/>
      <c r="C76" s="48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4.25" customHeight="1">
      <c r="A77" s="48"/>
      <c r="B77" s="41"/>
      <c r="C77" s="48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4.25" customHeight="1">
      <c r="A78" s="48"/>
      <c r="B78" s="41"/>
      <c r="C78" s="48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4.25" customHeight="1">
      <c r="A79" s="48"/>
      <c r="B79" s="41"/>
      <c r="C79" s="48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4.25" customHeight="1">
      <c r="A80" s="48"/>
      <c r="B80" s="41"/>
      <c r="C80" s="48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4.25" customHeight="1">
      <c r="A81" s="48"/>
      <c r="B81" s="41"/>
      <c r="C81" s="48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4.25" customHeight="1">
      <c r="A82" s="48"/>
      <c r="B82" s="41"/>
      <c r="C82" s="48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4.25" customHeight="1">
      <c r="A83" s="48"/>
      <c r="B83" s="41"/>
      <c r="C83" s="48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4.25" customHeight="1">
      <c r="A84" s="48"/>
      <c r="B84" s="41"/>
      <c r="C84" s="48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4.25" customHeight="1">
      <c r="A85" s="48"/>
      <c r="B85" s="41"/>
      <c r="C85" s="48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4.25" customHeight="1">
      <c r="A86" s="48"/>
      <c r="B86" s="41"/>
      <c r="C86" s="48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4.25" customHeight="1">
      <c r="A87" s="48"/>
      <c r="B87" s="41"/>
      <c r="C87" s="48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4.25" customHeight="1">
      <c r="A88" s="48"/>
      <c r="B88" s="41"/>
      <c r="C88" s="48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4.25" customHeight="1">
      <c r="A89" s="48"/>
      <c r="B89" s="41"/>
      <c r="C89" s="48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4.25" customHeight="1">
      <c r="A90" s="48"/>
      <c r="B90" s="41"/>
      <c r="C90" s="48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4.25" customHeight="1">
      <c r="A91" s="48"/>
      <c r="B91" s="41"/>
      <c r="C91" s="48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4.25" customHeight="1">
      <c r="A92" s="48"/>
      <c r="B92" s="41"/>
      <c r="C92" s="48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4.25" customHeight="1">
      <c r="A93" s="48"/>
      <c r="B93" s="41"/>
      <c r="C93" s="48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4.25" customHeight="1">
      <c r="A94" s="48"/>
      <c r="B94" s="41"/>
      <c r="C94" s="48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4.25" customHeight="1">
      <c r="A95" s="48"/>
      <c r="B95" s="41"/>
      <c r="C95" s="48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4.25" customHeight="1">
      <c r="A96" s="48"/>
      <c r="B96" s="41"/>
      <c r="C96" s="48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4.25" customHeight="1">
      <c r="A97" s="48"/>
      <c r="B97" s="41"/>
      <c r="C97" s="48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4.25" customHeight="1">
      <c r="A98" s="48"/>
      <c r="B98" s="41"/>
      <c r="C98" s="48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4.25" customHeight="1">
      <c r="A99" s="48"/>
      <c r="B99" s="41"/>
      <c r="C99" s="48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4.25" customHeight="1">
      <c r="A100" s="48"/>
      <c r="B100" s="41"/>
      <c r="C100" s="48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4.25" customHeight="1">
      <c r="A101" s="48"/>
      <c r="B101" s="41"/>
      <c r="C101" s="48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4.25" customHeight="1">
      <c r="A102" s="48"/>
      <c r="B102" s="41"/>
      <c r="C102" s="48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4.25" customHeight="1">
      <c r="A103" s="48"/>
      <c r="B103" s="41"/>
      <c r="C103" s="48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4.25" customHeight="1">
      <c r="A104" s="48"/>
      <c r="B104" s="41"/>
      <c r="C104" s="48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4.25" customHeight="1">
      <c r="A105" s="48"/>
      <c r="B105" s="41"/>
      <c r="C105" s="48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4.25" customHeight="1">
      <c r="A106" s="48"/>
      <c r="B106" s="41"/>
      <c r="C106" s="48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4.25" customHeight="1">
      <c r="A107" s="48"/>
      <c r="B107" s="41"/>
      <c r="C107" s="48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4.25" customHeight="1">
      <c r="A108" s="48"/>
      <c r="B108" s="41"/>
      <c r="C108" s="48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4.25" customHeight="1">
      <c r="A109" s="48"/>
      <c r="B109" s="41"/>
      <c r="C109" s="48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4.25" customHeight="1">
      <c r="A110" s="48"/>
      <c r="B110" s="41"/>
      <c r="C110" s="48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4.25" customHeight="1">
      <c r="A111" s="48"/>
      <c r="B111" s="41"/>
      <c r="C111" s="48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4.25" customHeight="1">
      <c r="A112" s="48"/>
      <c r="B112" s="41"/>
      <c r="C112" s="48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4.25" customHeight="1">
      <c r="A113" s="48"/>
      <c r="B113" s="41"/>
      <c r="C113" s="48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4.25" customHeight="1">
      <c r="A114" s="48"/>
      <c r="B114" s="41"/>
      <c r="C114" s="48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4.25" customHeight="1">
      <c r="A115" s="48"/>
      <c r="B115" s="41"/>
      <c r="C115" s="48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4.25" customHeight="1">
      <c r="A116" s="48"/>
      <c r="B116" s="41"/>
      <c r="C116" s="48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4.25" customHeight="1">
      <c r="A117" s="48"/>
      <c r="B117" s="41"/>
      <c r="C117" s="48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4.25" customHeight="1">
      <c r="A118" s="48"/>
      <c r="B118" s="41"/>
      <c r="C118" s="48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4.25" customHeight="1">
      <c r="A119" s="48"/>
      <c r="B119" s="41"/>
      <c r="C119" s="48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4.25" customHeight="1">
      <c r="A120" s="48"/>
      <c r="B120" s="41"/>
      <c r="C120" s="48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4.25" customHeight="1">
      <c r="A121" s="48"/>
      <c r="B121" s="41"/>
      <c r="C121" s="48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4.25" customHeight="1">
      <c r="A122" s="48"/>
      <c r="B122" s="41"/>
      <c r="C122" s="48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4.25" customHeight="1">
      <c r="A123" s="48"/>
      <c r="B123" s="41"/>
      <c r="C123" s="48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4.25" customHeight="1">
      <c r="A124" s="48"/>
      <c r="B124" s="41"/>
      <c r="C124" s="48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4.25" customHeight="1">
      <c r="A125" s="48"/>
      <c r="B125" s="41"/>
      <c r="C125" s="48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4.25" customHeight="1">
      <c r="A126" s="48"/>
      <c r="B126" s="41"/>
      <c r="C126" s="48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4.25" customHeight="1">
      <c r="A127" s="48"/>
      <c r="B127" s="41"/>
      <c r="C127" s="48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4.25" customHeight="1">
      <c r="A128" s="48"/>
      <c r="B128" s="41"/>
      <c r="C128" s="48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4.25" customHeight="1">
      <c r="A129" s="48"/>
      <c r="B129" s="41"/>
      <c r="C129" s="48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4.25" customHeight="1">
      <c r="A130" s="48"/>
      <c r="B130" s="41"/>
      <c r="C130" s="48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4.25" customHeight="1">
      <c r="A131" s="48"/>
      <c r="B131" s="41"/>
      <c r="C131" s="48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4.25" customHeight="1">
      <c r="A132" s="48"/>
      <c r="B132" s="41"/>
      <c r="C132" s="48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4.25" customHeight="1">
      <c r="A133" s="48"/>
      <c r="B133" s="41"/>
      <c r="C133" s="48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4.25" customHeight="1">
      <c r="A134" s="48"/>
      <c r="B134" s="41"/>
      <c r="C134" s="48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4.25" customHeight="1">
      <c r="A135" s="48"/>
      <c r="B135" s="41"/>
      <c r="C135" s="48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4.25" customHeight="1">
      <c r="A136" s="48"/>
      <c r="B136" s="41"/>
      <c r="C136" s="48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4.25" customHeight="1">
      <c r="A137" s="48"/>
      <c r="B137" s="41"/>
      <c r="C137" s="48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4.25" customHeight="1">
      <c r="A138" s="48"/>
      <c r="B138" s="41"/>
      <c r="C138" s="48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4.25" customHeight="1">
      <c r="A139" s="48"/>
      <c r="B139" s="41"/>
      <c r="C139" s="48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4.25" customHeight="1">
      <c r="A140" s="48"/>
      <c r="B140" s="41"/>
      <c r="C140" s="48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4.25" customHeight="1">
      <c r="A141" s="48"/>
      <c r="B141" s="41"/>
      <c r="C141" s="48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4.25" customHeight="1">
      <c r="A142" s="48"/>
      <c r="B142" s="41"/>
      <c r="C142" s="48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4.25" customHeight="1">
      <c r="A143" s="48"/>
      <c r="B143" s="41"/>
      <c r="C143" s="48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4.25" customHeight="1">
      <c r="A144" s="48"/>
      <c r="B144" s="41"/>
      <c r="C144" s="48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4.25" customHeight="1">
      <c r="A145" s="48"/>
      <c r="B145" s="41"/>
      <c r="C145" s="48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4.25" customHeight="1">
      <c r="A146" s="48"/>
      <c r="B146" s="41"/>
      <c r="C146" s="48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4.25" customHeight="1">
      <c r="A147" s="48"/>
      <c r="B147" s="41"/>
      <c r="C147" s="48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4.25" customHeight="1">
      <c r="A148" s="48"/>
      <c r="B148" s="41"/>
      <c r="C148" s="48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4.25" customHeight="1">
      <c r="A149" s="48"/>
      <c r="B149" s="41"/>
      <c r="C149" s="48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4.25" customHeight="1">
      <c r="A150" s="48"/>
      <c r="B150" s="41"/>
      <c r="C150" s="48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4.25" customHeight="1">
      <c r="A151" s="48"/>
      <c r="B151" s="41"/>
      <c r="C151" s="48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4.25" customHeight="1">
      <c r="A152" s="48"/>
      <c r="B152" s="41"/>
      <c r="C152" s="48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4.25" customHeight="1">
      <c r="A153" s="48"/>
      <c r="B153" s="41"/>
      <c r="C153" s="48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4.25" customHeight="1">
      <c r="A154" s="48"/>
      <c r="B154" s="41"/>
      <c r="C154" s="48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4.25" customHeight="1">
      <c r="A155" s="48"/>
      <c r="B155" s="41"/>
      <c r="C155" s="48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4.25" customHeight="1">
      <c r="A156" s="48"/>
      <c r="B156" s="41"/>
      <c r="C156" s="48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4.25" customHeight="1">
      <c r="A157" s="48"/>
      <c r="B157" s="41"/>
      <c r="C157" s="48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4.25" customHeight="1">
      <c r="A158" s="48"/>
      <c r="B158" s="41"/>
      <c r="C158" s="48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4.25" customHeight="1">
      <c r="A159" s="48"/>
      <c r="B159" s="41"/>
      <c r="C159" s="48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4.25" customHeight="1">
      <c r="A160" s="48"/>
      <c r="B160" s="41"/>
      <c r="C160" s="48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4.25" customHeight="1">
      <c r="A161" s="48"/>
      <c r="B161" s="41"/>
      <c r="C161" s="48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4.25" customHeight="1">
      <c r="A162" s="48"/>
      <c r="B162" s="41"/>
      <c r="C162" s="48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4.25" customHeight="1">
      <c r="A163" s="48"/>
      <c r="B163" s="41"/>
      <c r="C163" s="48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4.25" customHeight="1">
      <c r="A164" s="48"/>
      <c r="B164" s="41"/>
      <c r="C164" s="48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4.25" customHeight="1">
      <c r="A165" s="48"/>
      <c r="B165" s="41"/>
      <c r="C165" s="48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4.25" customHeight="1">
      <c r="A166" s="48"/>
      <c r="B166" s="41"/>
      <c r="C166" s="48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4.25" customHeight="1">
      <c r="A167" s="48"/>
      <c r="B167" s="41"/>
      <c r="C167" s="48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4.25" customHeight="1">
      <c r="A168" s="48"/>
      <c r="B168" s="41"/>
      <c r="C168" s="48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4.25" customHeight="1">
      <c r="A169" s="48"/>
      <c r="B169" s="41"/>
      <c r="C169" s="48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4.25" customHeight="1">
      <c r="A170" s="48"/>
      <c r="B170" s="41"/>
      <c r="C170" s="48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4.25" customHeight="1">
      <c r="A171" s="48"/>
      <c r="B171" s="41"/>
      <c r="C171" s="48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4.25" customHeight="1">
      <c r="A172" s="48"/>
      <c r="B172" s="41"/>
      <c r="C172" s="48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4.25" customHeight="1">
      <c r="A173" s="48"/>
      <c r="B173" s="41"/>
      <c r="C173" s="48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4.25" customHeight="1">
      <c r="A174" s="48"/>
      <c r="B174" s="41"/>
      <c r="C174" s="48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4.25" customHeight="1">
      <c r="A175" s="48"/>
      <c r="B175" s="41"/>
      <c r="C175" s="48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4.25" customHeight="1">
      <c r="A176" s="48"/>
      <c r="B176" s="41"/>
      <c r="C176" s="48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4.25" customHeight="1">
      <c r="A177" s="48"/>
      <c r="B177" s="41"/>
      <c r="C177" s="48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4.25" customHeight="1">
      <c r="A178" s="48"/>
      <c r="B178" s="41"/>
      <c r="C178" s="48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4.25" customHeight="1">
      <c r="A179" s="48"/>
      <c r="B179" s="41"/>
      <c r="C179" s="48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4.25" customHeight="1">
      <c r="A180" s="48"/>
      <c r="B180" s="41"/>
      <c r="C180" s="48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4.25" customHeight="1">
      <c r="A181" s="48"/>
      <c r="B181" s="41"/>
      <c r="C181" s="48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4.25" customHeight="1">
      <c r="A182" s="48"/>
      <c r="B182" s="41"/>
      <c r="C182" s="48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4.25" customHeight="1">
      <c r="A183" s="48"/>
      <c r="B183" s="41"/>
      <c r="C183" s="48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4.25" customHeight="1">
      <c r="A184" s="48"/>
      <c r="B184" s="41"/>
      <c r="C184" s="48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4.25" customHeight="1">
      <c r="A185" s="48"/>
      <c r="B185" s="41"/>
      <c r="C185" s="48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4.25" customHeight="1">
      <c r="A186" s="48"/>
      <c r="B186" s="41"/>
      <c r="C186" s="48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4.25" customHeight="1">
      <c r="A187" s="48"/>
      <c r="B187" s="41"/>
      <c r="C187" s="48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4.25" customHeight="1">
      <c r="A188" s="48"/>
      <c r="B188" s="41"/>
      <c r="C188" s="48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4.25" customHeight="1">
      <c r="A189" s="48"/>
      <c r="B189" s="41"/>
      <c r="C189" s="48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4.25" customHeight="1">
      <c r="A190" s="48"/>
      <c r="B190" s="41"/>
      <c r="C190" s="48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4.25" customHeight="1">
      <c r="A191" s="48"/>
      <c r="B191" s="41"/>
      <c r="C191" s="48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4.25" customHeight="1">
      <c r="A192" s="48"/>
      <c r="B192" s="41"/>
      <c r="C192" s="48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4.25" customHeight="1">
      <c r="A193" s="48"/>
      <c r="B193" s="41"/>
      <c r="C193" s="48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4.25" customHeight="1">
      <c r="A194" s="48"/>
      <c r="B194" s="41"/>
      <c r="C194" s="48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4.25" customHeight="1">
      <c r="A195" s="48"/>
      <c r="B195" s="41"/>
      <c r="C195" s="48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4.25" customHeight="1">
      <c r="A196" s="48"/>
      <c r="B196" s="41"/>
      <c r="C196" s="48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4.25" customHeight="1">
      <c r="A197" s="48"/>
      <c r="B197" s="41"/>
      <c r="C197" s="48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4.25" customHeight="1">
      <c r="A198" s="48"/>
      <c r="B198" s="41"/>
      <c r="C198" s="48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4.25" customHeight="1">
      <c r="A199" s="48"/>
      <c r="B199" s="41"/>
      <c r="C199" s="48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4.25" customHeight="1">
      <c r="A200" s="48"/>
      <c r="B200" s="41"/>
      <c r="C200" s="48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4.25" customHeight="1">
      <c r="A201" s="48"/>
      <c r="B201" s="41"/>
      <c r="C201" s="48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4.25" customHeight="1">
      <c r="A202" s="48"/>
      <c r="B202" s="41"/>
      <c r="C202" s="48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4.25" customHeight="1">
      <c r="A203" s="48"/>
      <c r="B203" s="41"/>
      <c r="C203" s="48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4.25" customHeight="1">
      <c r="A204" s="48"/>
      <c r="B204" s="41"/>
      <c r="C204" s="48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4.25" customHeight="1">
      <c r="A205" s="48"/>
      <c r="B205" s="41"/>
      <c r="C205" s="48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4.25" customHeight="1">
      <c r="A206" s="48"/>
      <c r="B206" s="41"/>
      <c r="C206" s="48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4.25" customHeight="1">
      <c r="A207" s="48"/>
      <c r="B207" s="41"/>
      <c r="C207" s="48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4.25" customHeight="1">
      <c r="A208" s="48"/>
      <c r="B208" s="41"/>
      <c r="C208" s="48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4.25" customHeight="1">
      <c r="A209" s="48"/>
      <c r="B209" s="41"/>
      <c r="C209" s="48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4.25" customHeight="1">
      <c r="A210" s="48"/>
      <c r="B210" s="41"/>
      <c r="C210" s="48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4.25" customHeight="1">
      <c r="A211" s="48"/>
      <c r="B211" s="41"/>
      <c r="C211" s="48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4.25" customHeight="1">
      <c r="A212" s="48"/>
      <c r="B212" s="41"/>
      <c r="C212" s="48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4.25" customHeight="1">
      <c r="A213" s="48"/>
      <c r="B213" s="41"/>
      <c r="C213" s="48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4.25" customHeight="1">
      <c r="A214" s="48"/>
      <c r="B214" s="41"/>
      <c r="C214" s="48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4.25" customHeight="1">
      <c r="A215" s="48"/>
      <c r="B215" s="41"/>
      <c r="C215" s="48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4.25" customHeight="1">
      <c r="A216" s="48"/>
      <c r="B216" s="41"/>
      <c r="C216" s="48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4.25" customHeight="1">
      <c r="A217" s="48"/>
      <c r="B217" s="41"/>
      <c r="C217" s="48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4.25" customHeight="1">
      <c r="A218" s="48"/>
      <c r="B218" s="41"/>
      <c r="C218" s="48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4.25" customHeight="1">
      <c r="A219" s="48"/>
      <c r="B219" s="41"/>
      <c r="C219" s="48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4.25" customHeight="1">
      <c r="A220" s="48"/>
      <c r="B220" s="41"/>
      <c r="C220" s="48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4.25" customHeight="1">
      <c r="A221" s="48"/>
      <c r="B221" s="41"/>
      <c r="C221" s="48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14.25" customHeight="1">
      <c r="A222" s="48"/>
      <c r="B222" s="41"/>
      <c r="C222" s="48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14.25" customHeight="1">
      <c r="A223" s="48"/>
      <c r="B223" s="41"/>
      <c r="C223" s="48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14.25" customHeight="1">
      <c r="A224" s="48"/>
      <c r="B224" s="41"/>
      <c r="C224" s="48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14.25" customHeight="1">
      <c r="A225" s="48"/>
      <c r="B225" s="41"/>
      <c r="C225" s="48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14.25" customHeight="1">
      <c r="A226" s="48"/>
      <c r="B226" s="41"/>
      <c r="C226" s="48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14.25" customHeight="1">
      <c r="A227" s="48"/>
      <c r="B227" s="41"/>
      <c r="C227" s="48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14.25" customHeight="1">
      <c r="A228" s="48"/>
      <c r="B228" s="41"/>
      <c r="C228" s="48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14.25" customHeight="1">
      <c r="A229" s="48"/>
      <c r="B229" s="41"/>
      <c r="C229" s="48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14.25" customHeight="1">
      <c r="A230" s="48"/>
      <c r="B230" s="41"/>
      <c r="C230" s="48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14.25" customHeight="1">
      <c r="A231" s="48"/>
      <c r="B231" s="41"/>
      <c r="C231" s="48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14.25" customHeight="1">
      <c r="A232" s="48"/>
      <c r="B232" s="41"/>
      <c r="C232" s="48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14.25" customHeight="1">
      <c r="A233" s="48"/>
      <c r="B233" s="41"/>
      <c r="C233" s="48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14.25" customHeight="1">
      <c r="A234" s="48"/>
      <c r="B234" s="41"/>
      <c r="C234" s="48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14.25" customHeight="1">
      <c r="A235" s="48"/>
      <c r="B235" s="41"/>
      <c r="C235" s="48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14.25" customHeight="1">
      <c r="A236" s="48"/>
      <c r="B236" s="41"/>
      <c r="C236" s="48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14.25" customHeight="1">
      <c r="A237" s="48"/>
      <c r="B237" s="41"/>
      <c r="C237" s="48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14.25" customHeight="1">
      <c r="A238" s="48"/>
      <c r="B238" s="41"/>
      <c r="C238" s="48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14.25" customHeight="1">
      <c r="A239" s="48"/>
      <c r="B239" s="41"/>
      <c r="C239" s="48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14.25" customHeight="1">
      <c r="A240" s="48"/>
      <c r="B240" s="41"/>
      <c r="C240" s="48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14.25" customHeight="1">
      <c r="A241" s="48"/>
      <c r="B241" s="41"/>
      <c r="C241" s="48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14.25" customHeight="1">
      <c r="A242" s="48"/>
      <c r="B242" s="41"/>
      <c r="C242" s="48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14.25" customHeight="1">
      <c r="A243" s="48"/>
      <c r="B243" s="41"/>
      <c r="C243" s="48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14.25" customHeight="1">
      <c r="A244" s="48"/>
      <c r="B244" s="41"/>
      <c r="C244" s="48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14.25" customHeight="1">
      <c r="A245" s="48"/>
      <c r="B245" s="41"/>
      <c r="C245" s="48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14.25" customHeight="1">
      <c r="A246" s="48"/>
      <c r="B246" s="41"/>
      <c r="C246" s="48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14.25" customHeight="1">
      <c r="A247" s="48"/>
      <c r="B247" s="41"/>
      <c r="C247" s="48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14.25" customHeight="1">
      <c r="A248" s="48"/>
      <c r="B248" s="41"/>
      <c r="C248" s="48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14.25" customHeight="1">
      <c r="A249" s="48"/>
      <c r="B249" s="41"/>
      <c r="C249" s="48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14.25" customHeight="1">
      <c r="A250" s="48"/>
      <c r="B250" s="41"/>
      <c r="C250" s="48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14.25" customHeight="1">
      <c r="A251" s="48"/>
      <c r="B251" s="41"/>
      <c r="C251" s="48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14.25" customHeight="1">
      <c r="A252" s="48"/>
      <c r="B252" s="41"/>
      <c r="C252" s="48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14.25" customHeight="1">
      <c r="A253" s="48"/>
      <c r="B253" s="41"/>
      <c r="C253" s="48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14.25" customHeight="1">
      <c r="A254" s="48"/>
      <c r="B254" s="41"/>
      <c r="C254" s="48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14.25" customHeight="1">
      <c r="A255" s="48"/>
      <c r="B255" s="41"/>
      <c r="C255" s="48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14.25" customHeight="1">
      <c r="A256" s="48"/>
      <c r="B256" s="41"/>
      <c r="C256" s="48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14.25" customHeight="1">
      <c r="A257" s="48"/>
      <c r="B257" s="41"/>
      <c r="C257" s="48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14.25" customHeight="1">
      <c r="A258" s="48"/>
      <c r="B258" s="41"/>
      <c r="C258" s="48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14.25" customHeight="1">
      <c r="A259" s="48"/>
      <c r="B259" s="41"/>
      <c r="C259" s="48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14.25" customHeight="1">
      <c r="A260" s="48"/>
      <c r="B260" s="41"/>
      <c r="C260" s="48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14.25" customHeight="1">
      <c r="A261" s="48"/>
      <c r="B261" s="41"/>
      <c r="C261" s="48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14.25" customHeight="1">
      <c r="A262" s="48"/>
      <c r="B262" s="41"/>
      <c r="C262" s="48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14.25" customHeight="1">
      <c r="A263" s="48"/>
      <c r="B263" s="41"/>
      <c r="C263" s="48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14.25" customHeight="1">
      <c r="A264" s="48"/>
      <c r="B264" s="41"/>
      <c r="C264" s="48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14.25" customHeight="1">
      <c r="A265" s="48"/>
      <c r="B265" s="41"/>
      <c r="C265" s="48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14.25" customHeight="1">
      <c r="A266" s="48"/>
      <c r="B266" s="41"/>
      <c r="C266" s="48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14.25" customHeight="1">
      <c r="A267" s="48"/>
      <c r="B267" s="41"/>
      <c r="C267" s="48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14.25" customHeight="1">
      <c r="A268" s="48"/>
      <c r="B268" s="41"/>
      <c r="C268" s="48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14.25" customHeight="1">
      <c r="A269" s="48"/>
      <c r="B269" s="41"/>
      <c r="C269" s="48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14.25" customHeight="1">
      <c r="A270" s="48"/>
      <c r="B270" s="41"/>
      <c r="C270" s="48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14.25" customHeight="1">
      <c r="A271" s="48"/>
      <c r="B271" s="41"/>
      <c r="C271" s="48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14.25" customHeight="1">
      <c r="A272" s="48"/>
      <c r="B272" s="41"/>
      <c r="C272" s="48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14.25" customHeight="1">
      <c r="A273" s="48"/>
      <c r="B273" s="41"/>
      <c r="C273" s="48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14.25" customHeight="1">
      <c r="A274" s="48"/>
      <c r="B274" s="41"/>
      <c r="C274" s="48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14.25" customHeight="1">
      <c r="A275" s="48"/>
      <c r="B275" s="41"/>
      <c r="C275" s="48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14.25" customHeight="1">
      <c r="A276" s="48"/>
      <c r="B276" s="41"/>
      <c r="C276" s="48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14.25" customHeight="1">
      <c r="A277" s="48"/>
      <c r="B277" s="41"/>
      <c r="C277" s="48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14.25" customHeight="1">
      <c r="A278" s="48"/>
      <c r="B278" s="41"/>
      <c r="C278" s="48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14.25" customHeight="1">
      <c r="A279" s="48"/>
      <c r="B279" s="41"/>
      <c r="C279" s="48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14.25" customHeight="1">
      <c r="A280" s="48"/>
      <c r="B280" s="41"/>
      <c r="C280" s="48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14.25" customHeight="1">
      <c r="A281" s="48"/>
      <c r="B281" s="41"/>
      <c r="C281" s="48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14.25" customHeight="1">
      <c r="A282" s="48"/>
      <c r="B282" s="41"/>
      <c r="C282" s="48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14.25" customHeight="1">
      <c r="A283" s="48"/>
      <c r="B283" s="41"/>
      <c r="C283" s="48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14.25" customHeight="1">
      <c r="A284" s="48"/>
      <c r="B284" s="41"/>
      <c r="C284" s="48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14.25" customHeight="1">
      <c r="A285" s="48"/>
      <c r="B285" s="41"/>
      <c r="C285" s="48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14.25" customHeight="1">
      <c r="A286" s="48"/>
      <c r="B286" s="41"/>
      <c r="C286" s="48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14.25" customHeight="1">
      <c r="A287" s="48"/>
      <c r="B287" s="41"/>
      <c r="C287" s="48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14.25" customHeight="1">
      <c r="A288" s="48"/>
      <c r="B288" s="41"/>
      <c r="C288" s="48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14.25" customHeight="1">
      <c r="A289" s="48"/>
      <c r="B289" s="41"/>
      <c r="C289" s="48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14.25" customHeight="1">
      <c r="A290" s="48"/>
      <c r="B290" s="41"/>
      <c r="C290" s="48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14.25" customHeight="1">
      <c r="A291" s="48"/>
      <c r="B291" s="41"/>
      <c r="C291" s="48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14.25" customHeight="1">
      <c r="A292" s="48"/>
      <c r="B292" s="41"/>
      <c r="C292" s="48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14.25" customHeight="1">
      <c r="A293" s="48"/>
      <c r="B293" s="41"/>
      <c r="C293" s="48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14.25" customHeight="1">
      <c r="A294" s="48"/>
      <c r="B294" s="41"/>
      <c r="C294" s="48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14.25" customHeight="1">
      <c r="A295" s="48"/>
      <c r="B295" s="41"/>
      <c r="C295" s="48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14.25" customHeight="1">
      <c r="A296" s="48"/>
      <c r="B296" s="41"/>
      <c r="C296" s="48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14.25" customHeight="1">
      <c r="A297" s="48"/>
      <c r="B297" s="41"/>
      <c r="C297" s="48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14.25" customHeight="1">
      <c r="A298" s="48"/>
      <c r="B298" s="41"/>
      <c r="C298" s="48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14.25" customHeight="1">
      <c r="A299" s="48"/>
      <c r="B299" s="41"/>
      <c r="C299" s="48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14.25" customHeight="1">
      <c r="A300" s="48"/>
      <c r="B300" s="41"/>
      <c r="C300" s="48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14.25" customHeight="1">
      <c r="A301" s="48"/>
      <c r="B301" s="41"/>
      <c r="C301" s="48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14.25" customHeight="1">
      <c r="A302" s="48"/>
      <c r="B302" s="41"/>
      <c r="C302" s="48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14.25" customHeight="1">
      <c r="A303" s="48"/>
      <c r="B303" s="41"/>
      <c r="C303" s="48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14.25" customHeight="1">
      <c r="A304" s="48"/>
      <c r="B304" s="41"/>
      <c r="C304" s="48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14.25" customHeight="1">
      <c r="A305" s="48"/>
      <c r="B305" s="41"/>
      <c r="C305" s="48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14.25" customHeight="1">
      <c r="A306" s="48"/>
      <c r="B306" s="41"/>
      <c r="C306" s="48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14.25" customHeight="1">
      <c r="A307" s="48"/>
      <c r="B307" s="41"/>
      <c r="C307" s="48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14.25" customHeight="1">
      <c r="A308" s="48"/>
      <c r="B308" s="41"/>
      <c r="C308" s="48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14.25" customHeight="1">
      <c r="A309" s="48"/>
      <c r="B309" s="41"/>
      <c r="C309" s="48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14.25" customHeight="1">
      <c r="A310" s="48"/>
      <c r="B310" s="41"/>
      <c r="C310" s="48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14.25" customHeight="1">
      <c r="A311" s="48"/>
      <c r="B311" s="41"/>
      <c r="C311" s="48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14.25" customHeight="1">
      <c r="A312" s="48"/>
      <c r="B312" s="41"/>
      <c r="C312" s="48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14.25" customHeight="1">
      <c r="A313" s="48"/>
      <c r="B313" s="41"/>
      <c r="C313" s="48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14.25" customHeight="1">
      <c r="A314" s="48"/>
      <c r="B314" s="41"/>
      <c r="C314" s="48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14.25" customHeight="1">
      <c r="A315" s="48"/>
      <c r="B315" s="41"/>
      <c r="C315" s="48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14.25" customHeight="1">
      <c r="A316" s="48"/>
      <c r="B316" s="41"/>
      <c r="C316" s="48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14.25" customHeight="1">
      <c r="A317" s="48"/>
      <c r="B317" s="41"/>
      <c r="C317" s="48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14.25" customHeight="1">
      <c r="A318" s="48"/>
      <c r="B318" s="41"/>
      <c r="C318" s="48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14.25" customHeight="1">
      <c r="A319" s="48"/>
      <c r="B319" s="41"/>
      <c r="C319" s="48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14.25" customHeight="1">
      <c r="A320" s="48"/>
      <c r="B320" s="41"/>
      <c r="C320" s="48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14.25" customHeight="1">
      <c r="A321" s="48"/>
      <c r="B321" s="41"/>
      <c r="C321" s="48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14.25" customHeight="1">
      <c r="A322" s="48"/>
      <c r="B322" s="41"/>
      <c r="C322" s="48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14.25" customHeight="1">
      <c r="A323" s="48"/>
      <c r="B323" s="41"/>
      <c r="C323" s="48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14.25" customHeight="1">
      <c r="A324" s="48"/>
      <c r="B324" s="41"/>
      <c r="C324" s="48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14.25" customHeight="1">
      <c r="A325" s="48"/>
      <c r="B325" s="41"/>
      <c r="C325" s="48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14.25" customHeight="1">
      <c r="A326" s="48"/>
      <c r="B326" s="41"/>
      <c r="C326" s="48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14.25" customHeight="1">
      <c r="A327" s="48"/>
      <c r="B327" s="41"/>
      <c r="C327" s="48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14.25" customHeight="1">
      <c r="A328" s="48"/>
      <c r="B328" s="41"/>
      <c r="C328" s="48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14.25" customHeight="1">
      <c r="A329" s="48"/>
      <c r="B329" s="41"/>
      <c r="C329" s="48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14.25" customHeight="1">
      <c r="A330" s="48"/>
      <c r="B330" s="41"/>
      <c r="C330" s="48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14.25" customHeight="1">
      <c r="A331" s="48"/>
      <c r="B331" s="41"/>
      <c r="C331" s="48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14.25" customHeight="1">
      <c r="A332" s="48"/>
      <c r="B332" s="41"/>
      <c r="C332" s="48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14.25" customHeight="1">
      <c r="A333" s="48"/>
      <c r="B333" s="41"/>
      <c r="C333" s="48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14.25" customHeight="1">
      <c r="A334" s="48"/>
      <c r="B334" s="41"/>
      <c r="C334" s="48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14.25" customHeight="1">
      <c r="A335" s="48"/>
      <c r="B335" s="41"/>
      <c r="C335" s="48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14.25" customHeight="1">
      <c r="A336" s="48"/>
      <c r="B336" s="41"/>
      <c r="C336" s="48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14.25" customHeight="1">
      <c r="A337" s="48"/>
      <c r="B337" s="41"/>
      <c r="C337" s="48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14.25" customHeight="1">
      <c r="A338" s="48"/>
      <c r="B338" s="41"/>
      <c r="C338" s="48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14.25" customHeight="1">
      <c r="A339" s="48"/>
      <c r="B339" s="41"/>
      <c r="C339" s="48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14.25" customHeight="1">
      <c r="A340" s="48"/>
      <c r="B340" s="41"/>
      <c r="C340" s="48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14.25" customHeight="1">
      <c r="A341" s="48"/>
      <c r="B341" s="41"/>
      <c r="C341" s="48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14.25" customHeight="1">
      <c r="A342" s="48"/>
      <c r="B342" s="41"/>
      <c r="C342" s="48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14.25" customHeight="1">
      <c r="A343" s="48"/>
      <c r="B343" s="41"/>
      <c r="C343" s="48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14.25" customHeight="1">
      <c r="A344" s="48"/>
      <c r="B344" s="41"/>
      <c r="C344" s="48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14.25" customHeight="1">
      <c r="A345" s="48"/>
      <c r="B345" s="41"/>
      <c r="C345" s="48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14.25" customHeight="1">
      <c r="A346" s="48"/>
      <c r="B346" s="41"/>
      <c r="C346" s="48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14.25" customHeight="1">
      <c r="A347" s="48"/>
      <c r="B347" s="41"/>
      <c r="C347" s="48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14.25" customHeight="1">
      <c r="A348" s="48"/>
      <c r="B348" s="41"/>
      <c r="C348" s="48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14.25" customHeight="1">
      <c r="A349" s="48"/>
      <c r="B349" s="41"/>
      <c r="C349" s="48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14.25" customHeight="1">
      <c r="A350" s="48"/>
      <c r="B350" s="41"/>
      <c r="C350" s="48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14.25" customHeight="1">
      <c r="A351" s="48"/>
      <c r="B351" s="41"/>
      <c r="C351" s="48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14.25" customHeight="1">
      <c r="A352" s="48"/>
      <c r="B352" s="41"/>
      <c r="C352" s="48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14.25" customHeight="1">
      <c r="A353" s="48"/>
      <c r="B353" s="41"/>
      <c r="C353" s="48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14.25" customHeight="1">
      <c r="A354" s="48"/>
      <c r="B354" s="41"/>
      <c r="C354" s="48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14.25" customHeight="1">
      <c r="A355" s="48"/>
      <c r="B355" s="41"/>
      <c r="C355" s="48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14.25" customHeight="1">
      <c r="A356" s="48"/>
      <c r="B356" s="41"/>
      <c r="C356" s="48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14.25" customHeight="1">
      <c r="A357" s="48"/>
      <c r="B357" s="41"/>
      <c r="C357" s="48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14.25" customHeight="1">
      <c r="A358" s="48"/>
      <c r="B358" s="41"/>
      <c r="C358" s="48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14.25" customHeight="1">
      <c r="A359" s="48"/>
      <c r="B359" s="41"/>
      <c r="C359" s="48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14.25" customHeight="1">
      <c r="A360" s="48"/>
      <c r="B360" s="41"/>
      <c r="C360" s="48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14.25" customHeight="1">
      <c r="A361" s="48"/>
      <c r="B361" s="41"/>
      <c r="C361" s="48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14.25" customHeight="1">
      <c r="A362" s="48"/>
      <c r="B362" s="41"/>
      <c r="C362" s="48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14.25" customHeight="1">
      <c r="A363" s="48"/>
      <c r="B363" s="41"/>
      <c r="C363" s="48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14.25" customHeight="1">
      <c r="A364" s="48"/>
      <c r="B364" s="41"/>
      <c r="C364" s="48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14.25" customHeight="1">
      <c r="A365" s="48"/>
      <c r="B365" s="41"/>
      <c r="C365" s="48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14.25" customHeight="1">
      <c r="A366" s="48"/>
      <c r="B366" s="41"/>
      <c r="C366" s="48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14.25" customHeight="1">
      <c r="A367" s="48"/>
      <c r="B367" s="41"/>
      <c r="C367" s="48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14.25" customHeight="1">
      <c r="A368" s="48"/>
      <c r="B368" s="41"/>
      <c r="C368" s="48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14.25" customHeight="1">
      <c r="A369" s="48"/>
      <c r="B369" s="41"/>
      <c r="C369" s="48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14.25" customHeight="1">
      <c r="A370" s="48"/>
      <c r="B370" s="41"/>
      <c r="C370" s="48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14.25" customHeight="1">
      <c r="A371" s="48"/>
      <c r="B371" s="41"/>
      <c r="C371" s="48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14.25" customHeight="1">
      <c r="A372" s="48"/>
      <c r="B372" s="41"/>
      <c r="C372" s="48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14.25" customHeight="1">
      <c r="A373" s="48"/>
      <c r="B373" s="41"/>
      <c r="C373" s="48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14.25" customHeight="1">
      <c r="A374" s="48"/>
      <c r="B374" s="41"/>
      <c r="C374" s="48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14.25" customHeight="1">
      <c r="A375" s="48"/>
      <c r="B375" s="41"/>
      <c r="C375" s="48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14.25" customHeight="1">
      <c r="A376" s="48"/>
      <c r="B376" s="41"/>
      <c r="C376" s="48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14.25" customHeight="1">
      <c r="A377" s="48"/>
      <c r="B377" s="41"/>
      <c r="C377" s="48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14.25" customHeight="1">
      <c r="A378" s="48"/>
      <c r="B378" s="41"/>
      <c r="C378" s="48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14.25" customHeight="1">
      <c r="A379" s="48"/>
      <c r="B379" s="41"/>
      <c r="C379" s="48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14.25" customHeight="1">
      <c r="A380" s="48"/>
      <c r="B380" s="41"/>
      <c r="C380" s="48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14.25" customHeight="1">
      <c r="A381" s="48"/>
      <c r="B381" s="41"/>
      <c r="C381" s="48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14.25" customHeight="1">
      <c r="A382" s="48"/>
      <c r="B382" s="41"/>
      <c r="C382" s="48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14.25" customHeight="1">
      <c r="A383" s="48"/>
      <c r="B383" s="41"/>
      <c r="C383" s="48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14.25" customHeight="1">
      <c r="A384" s="48"/>
      <c r="B384" s="41"/>
      <c r="C384" s="48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14.25" customHeight="1">
      <c r="A385" s="48"/>
      <c r="B385" s="41"/>
      <c r="C385" s="48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14.25" customHeight="1">
      <c r="A386" s="48"/>
      <c r="B386" s="41"/>
      <c r="C386" s="48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14.25" customHeight="1">
      <c r="A387" s="48"/>
      <c r="B387" s="41"/>
      <c r="C387" s="48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14.25" customHeight="1">
      <c r="A388" s="48"/>
      <c r="B388" s="41"/>
      <c r="C388" s="48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14.25" customHeight="1">
      <c r="A389" s="48"/>
      <c r="B389" s="41"/>
      <c r="C389" s="48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14.25" customHeight="1">
      <c r="A390" s="48"/>
      <c r="B390" s="41"/>
      <c r="C390" s="48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14.25" customHeight="1">
      <c r="A391" s="48"/>
      <c r="B391" s="41"/>
      <c r="C391" s="48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14.25" customHeight="1">
      <c r="A392" s="48"/>
      <c r="B392" s="41"/>
      <c r="C392" s="48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14.25" customHeight="1">
      <c r="A393" s="48"/>
      <c r="B393" s="41"/>
      <c r="C393" s="48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14.25" customHeight="1">
      <c r="A394" s="48"/>
      <c r="B394" s="41"/>
      <c r="C394" s="48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14.25" customHeight="1">
      <c r="A395" s="48"/>
      <c r="B395" s="41"/>
      <c r="C395" s="48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14.25" customHeight="1">
      <c r="A396" s="48"/>
      <c r="B396" s="41"/>
      <c r="C396" s="48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14.25" customHeight="1">
      <c r="A397" s="48"/>
      <c r="B397" s="41"/>
      <c r="C397" s="48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14.25" customHeight="1">
      <c r="A398" s="48"/>
      <c r="B398" s="41"/>
      <c r="C398" s="48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14.25" customHeight="1">
      <c r="A399" s="48"/>
      <c r="B399" s="41"/>
      <c r="C399" s="48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14.25" customHeight="1">
      <c r="A400" s="48"/>
      <c r="B400" s="41"/>
      <c r="C400" s="48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14.25" customHeight="1">
      <c r="A401" s="48"/>
      <c r="B401" s="41"/>
      <c r="C401" s="48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14.25" customHeight="1">
      <c r="A402" s="48"/>
      <c r="B402" s="41"/>
      <c r="C402" s="48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14.25" customHeight="1">
      <c r="A403" s="48"/>
      <c r="B403" s="41"/>
      <c r="C403" s="48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14.25" customHeight="1">
      <c r="A404" s="48"/>
      <c r="B404" s="41"/>
      <c r="C404" s="48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14.25" customHeight="1">
      <c r="A405" s="48"/>
      <c r="B405" s="41"/>
      <c r="C405" s="48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14.25" customHeight="1">
      <c r="A406" s="48"/>
      <c r="B406" s="41"/>
      <c r="C406" s="48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14.25" customHeight="1">
      <c r="A407" s="48"/>
      <c r="B407" s="41"/>
      <c r="C407" s="48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14.25" customHeight="1">
      <c r="A408" s="48"/>
      <c r="B408" s="41"/>
      <c r="C408" s="48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14.25" customHeight="1">
      <c r="A409" s="48"/>
      <c r="B409" s="41"/>
      <c r="C409" s="48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14.25" customHeight="1">
      <c r="A410" s="48"/>
      <c r="B410" s="41"/>
      <c r="C410" s="48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14.25" customHeight="1">
      <c r="A411" s="48"/>
      <c r="B411" s="41"/>
      <c r="C411" s="48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14.25" customHeight="1">
      <c r="A412" s="48"/>
      <c r="B412" s="41"/>
      <c r="C412" s="48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14.25" customHeight="1">
      <c r="A413" s="48"/>
      <c r="B413" s="41"/>
      <c r="C413" s="48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14.25" customHeight="1">
      <c r="A414" s="48"/>
      <c r="B414" s="41"/>
      <c r="C414" s="48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14.25" customHeight="1">
      <c r="A415" s="48"/>
      <c r="B415" s="41"/>
      <c r="C415" s="48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14.25" customHeight="1">
      <c r="A416" s="48"/>
      <c r="B416" s="41"/>
      <c r="C416" s="48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14.25" customHeight="1">
      <c r="A417" s="48"/>
      <c r="B417" s="41"/>
      <c r="C417" s="48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14.25" customHeight="1">
      <c r="A418" s="48"/>
      <c r="B418" s="41"/>
      <c r="C418" s="48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14.25" customHeight="1">
      <c r="A419" s="48"/>
      <c r="B419" s="41"/>
      <c r="C419" s="48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14.25" customHeight="1">
      <c r="A420" s="48"/>
      <c r="B420" s="41"/>
      <c r="C420" s="48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14.25" customHeight="1">
      <c r="A421" s="48"/>
      <c r="B421" s="41"/>
      <c r="C421" s="48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14.25" customHeight="1">
      <c r="A422" s="48"/>
      <c r="B422" s="41"/>
      <c r="C422" s="48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14.25" customHeight="1">
      <c r="A423" s="48"/>
      <c r="B423" s="41"/>
      <c r="C423" s="48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14.25" customHeight="1">
      <c r="A424" s="48"/>
      <c r="B424" s="41"/>
      <c r="C424" s="48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14.25" customHeight="1">
      <c r="A425" s="48"/>
      <c r="B425" s="41"/>
      <c r="C425" s="48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14.25" customHeight="1">
      <c r="A426" s="48"/>
      <c r="B426" s="41"/>
      <c r="C426" s="48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14.25" customHeight="1">
      <c r="A427" s="48"/>
      <c r="B427" s="41"/>
      <c r="C427" s="48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14.25" customHeight="1">
      <c r="A428" s="48"/>
      <c r="B428" s="41"/>
      <c r="C428" s="48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14.25" customHeight="1">
      <c r="A429" s="48"/>
      <c r="B429" s="41"/>
      <c r="C429" s="48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14.25" customHeight="1">
      <c r="A430" s="48"/>
      <c r="B430" s="41"/>
      <c r="C430" s="48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14.25" customHeight="1">
      <c r="A431" s="48"/>
      <c r="B431" s="41"/>
      <c r="C431" s="48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4.25" customHeight="1">
      <c r="A432" s="48"/>
      <c r="B432" s="41"/>
      <c r="C432" s="48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14.25" customHeight="1">
      <c r="A433" s="48"/>
      <c r="B433" s="41"/>
      <c r="C433" s="48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14.25" customHeight="1">
      <c r="A434" s="48"/>
      <c r="B434" s="41"/>
      <c r="C434" s="48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14.25" customHeight="1">
      <c r="A435" s="48"/>
      <c r="B435" s="41"/>
      <c r="C435" s="48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14.25" customHeight="1">
      <c r="A436" s="48"/>
      <c r="B436" s="41"/>
      <c r="C436" s="48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14.25" customHeight="1">
      <c r="A437" s="48"/>
      <c r="B437" s="41"/>
      <c r="C437" s="48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14.25" customHeight="1">
      <c r="A438" s="48"/>
      <c r="B438" s="41"/>
      <c r="C438" s="48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14.25" customHeight="1">
      <c r="A439" s="48"/>
      <c r="B439" s="41"/>
      <c r="C439" s="48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14.25" customHeight="1">
      <c r="A440" s="48"/>
      <c r="B440" s="41"/>
      <c r="C440" s="48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14.25" customHeight="1">
      <c r="A441" s="48"/>
      <c r="B441" s="41"/>
      <c r="C441" s="48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14.25" customHeight="1">
      <c r="A442" s="48"/>
      <c r="B442" s="41"/>
      <c r="C442" s="48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14.25" customHeight="1">
      <c r="A443" s="48"/>
      <c r="B443" s="41"/>
      <c r="C443" s="48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14.25" customHeight="1">
      <c r="A444" s="48"/>
      <c r="B444" s="41"/>
      <c r="C444" s="48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14.25" customHeight="1">
      <c r="A445" s="48"/>
      <c r="B445" s="41"/>
      <c r="C445" s="48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14.25" customHeight="1">
      <c r="A446" s="48"/>
      <c r="B446" s="41"/>
      <c r="C446" s="48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14.25" customHeight="1">
      <c r="A447" s="48"/>
      <c r="B447" s="41"/>
      <c r="C447" s="48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14.25" customHeight="1">
      <c r="A448" s="48"/>
      <c r="B448" s="41"/>
      <c r="C448" s="48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14.25" customHeight="1">
      <c r="A449" s="48"/>
      <c r="B449" s="41"/>
      <c r="C449" s="48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14.25" customHeight="1">
      <c r="A450" s="48"/>
      <c r="B450" s="41"/>
      <c r="C450" s="48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14.25" customHeight="1">
      <c r="A451" s="48"/>
      <c r="B451" s="41"/>
      <c r="C451" s="48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4.25" customHeight="1">
      <c r="A452" s="48"/>
      <c r="B452" s="41"/>
      <c r="C452" s="48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14.25" customHeight="1">
      <c r="A453" s="48"/>
      <c r="B453" s="41"/>
      <c r="C453" s="48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14.25" customHeight="1">
      <c r="A454" s="48"/>
      <c r="B454" s="41"/>
      <c r="C454" s="48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14.25" customHeight="1">
      <c r="A455" s="48"/>
      <c r="B455" s="41"/>
      <c r="C455" s="48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14.25" customHeight="1">
      <c r="A456" s="48"/>
      <c r="B456" s="41"/>
      <c r="C456" s="48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14.25" customHeight="1">
      <c r="A457" s="48"/>
      <c r="B457" s="41"/>
      <c r="C457" s="48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14.25" customHeight="1">
      <c r="A458" s="48"/>
      <c r="B458" s="41"/>
      <c r="C458" s="48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14.25" customHeight="1">
      <c r="A459" s="48"/>
      <c r="B459" s="41"/>
      <c r="C459" s="48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14.25" customHeight="1">
      <c r="A460" s="48"/>
      <c r="B460" s="41"/>
      <c r="C460" s="48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14.25" customHeight="1">
      <c r="A461" s="48"/>
      <c r="B461" s="41"/>
      <c r="C461" s="48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14.25" customHeight="1">
      <c r="A462" s="48"/>
      <c r="B462" s="41"/>
      <c r="C462" s="48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14.25" customHeight="1">
      <c r="A463" s="48"/>
      <c r="B463" s="41"/>
      <c r="C463" s="48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14.25" customHeight="1">
      <c r="A464" s="48"/>
      <c r="B464" s="41"/>
      <c r="C464" s="48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14.25" customHeight="1">
      <c r="A465" s="48"/>
      <c r="B465" s="41"/>
      <c r="C465" s="48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14.25" customHeight="1">
      <c r="A466" s="48"/>
      <c r="B466" s="41"/>
      <c r="C466" s="48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14.25" customHeight="1">
      <c r="A467" s="48"/>
      <c r="B467" s="41"/>
      <c r="C467" s="48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14.25" customHeight="1">
      <c r="A468" s="48"/>
      <c r="B468" s="41"/>
      <c r="C468" s="48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14.25" customHeight="1">
      <c r="A469" s="48"/>
      <c r="B469" s="41"/>
      <c r="C469" s="48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14.25" customHeight="1">
      <c r="A470" s="48"/>
      <c r="B470" s="41"/>
      <c r="C470" s="48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14.25" customHeight="1">
      <c r="A471" s="48"/>
      <c r="B471" s="41"/>
      <c r="C471" s="48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4.25" customHeight="1">
      <c r="A472" s="48"/>
      <c r="B472" s="41"/>
      <c r="C472" s="48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14.25" customHeight="1">
      <c r="A473" s="48"/>
      <c r="B473" s="41"/>
      <c r="C473" s="48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14.25" customHeight="1">
      <c r="A474" s="48"/>
      <c r="B474" s="41"/>
      <c r="C474" s="48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14.25" customHeight="1">
      <c r="A475" s="48"/>
      <c r="B475" s="41"/>
      <c r="C475" s="48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14.25" customHeight="1">
      <c r="A476" s="48"/>
      <c r="B476" s="41"/>
      <c r="C476" s="48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14.25" customHeight="1">
      <c r="A477" s="48"/>
      <c r="B477" s="41"/>
      <c r="C477" s="48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14.25" customHeight="1">
      <c r="A478" s="48"/>
      <c r="B478" s="41"/>
      <c r="C478" s="48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14.25" customHeight="1">
      <c r="A479" s="48"/>
      <c r="B479" s="41"/>
      <c r="C479" s="48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14.25" customHeight="1">
      <c r="A480" s="48"/>
      <c r="B480" s="41"/>
      <c r="C480" s="48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14.25" customHeight="1">
      <c r="A481" s="48"/>
      <c r="B481" s="41"/>
      <c r="C481" s="48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14.25" customHeight="1">
      <c r="A482" s="48"/>
      <c r="B482" s="41"/>
      <c r="C482" s="48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14.25" customHeight="1">
      <c r="A483" s="48"/>
      <c r="B483" s="41"/>
      <c r="C483" s="48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14.25" customHeight="1">
      <c r="A484" s="48"/>
      <c r="B484" s="41"/>
      <c r="C484" s="48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14.25" customHeight="1">
      <c r="A485" s="48"/>
      <c r="B485" s="41"/>
      <c r="C485" s="48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14.25" customHeight="1">
      <c r="A486" s="48"/>
      <c r="B486" s="41"/>
      <c r="C486" s="48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14.25" customHeight="1">
      <c r="A487" s="48"/>
      <c r="B487" s="41"/>
      <c r="C487" s="48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14.25" customHeight="1">
      <c r="A488" s="48"/>
      <c r="B488" s="41"/>
      <c r="C488" s="48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14.25" customHeight="1">
      <c r="A489" s="48"/>
      <c r="B489" s="41"/>
      <c r="C489" s="48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14.25" customHeight="1">
      <c r="A490" s="48"/>
      <c r="B490" s="41"/>
      <c r="C490" s="48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14.25" customHeight="1">
      <c r="A491" s="48"/>
      <c r="B491" s="41"/>
      <c r="C491" s="48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4.25" customHeight="1">
      <c r="A492" s="48"/>
      <c r="B492" s="41"/>
      <c r="C492" s="48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14.25" customHeight="1">
      <c r="A493" s="48"/>
      <c r="B493" s="41"/>
      <c r="C493" s="48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14.25" customHeight="1">
      <c r="A494" s="48"/>
      <c r="B494" s="41"/>
      <c r="C494" s="48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14.25" customHeight="1">
      <c r="A495" s="48"/>
      <c r="B495" s="41"/>
      <c r="C495" s="48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14.25" customHeight="1">
      <c r="A496" s="48"/>
      <c r="B496" s="41"/>
      <c r="C496" s="48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14.25" customHeight="1">
      <c r="A497" s="48"/>
      <c r="B497" s="41"/>
      <c r="C497" s="48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14.25" customHeight="1">
      <c r="A498" s="48"/>
      <c r="B498" s="41"/>
      <c r="C498" s="48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14.25" customHeight="1">
      <c r="A499" s="48"/>
      <c r="B499" s="41"/>
      <c r="C499" s="48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14.25" customHeight="1">
      <c r="A500" s="48"/>
      <c r="B500" s="41"/>
      <c r="C500" s="48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14.25" customHeight="1">
      <c r="A501" s="48"/>
      <c r="B501" s="41"/>
      <c r="C501" s="48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14.25" customHeight="1">
      <c r="A502" s="48"/>
      <c r="B502" s="41"/>
      <c r="C502" s="48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14.25" customHeight="1">
      <c r="A503" s="48"/>
      <c r="B503" s="41"/>
      <c r="C503" s="48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4.25" customHeight="1">
      <c r="A504" s="48"/>
      <c r="B504" s="41"/>
      <c r="C504" s="48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ht="14.25" customHeight="1">
      <c r="A505" s="48"/>
      <c r="B505" s="41"/>
      <c r="C505" s="48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ht="14.25" customHeight="1">
      <c r="A506" s="48"/>
      <c r="B506" s="41"/>
      <c r="C506" s="48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ht="14.25" customHeight="1">
      <c r="A507" s="48"/>
      <c r="B507" s="41"/>
      <c r="C507" s="48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ht="14.25" customHeight="1">
      <c r="A508" s="48"/>
      <c r="B508" s="41"/>
      <c r="C508" s="48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ht="14.25" customHeight="1">
      <c r="A509" s="48"/>
      <c r="B509" s="41"/>
      <c r="C509" s="48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ht="14.25" customHeight="1">
      <c r="A510" s="48"/>
      <c r="B510" s="41"/>
      <c r="C510" s="48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ht="14.25" customHeight="1">
      <c r="A511" s="48"/>
      <c r="B511" s="41"/>
      <c r="C511" s="48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14.25" customHeight="1">
      <c r="A512" s="48"/>
      <c r="B512" s="41"/>
      <c r="C512" s="48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ht="14.25" customHeight="1">
      <c r="A513" s="48"/>
      <c r="B513" s="41"/>
      <c r="C513" s="48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ht="14.25" customHeight="1">
      <c r="A514" s="48"/>
      <c r="B514" s="41"/>
      <c r="C514" s="48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ht="14.25" customHeight="1">
      <c r="A515" s="48"/>
      <c r="B515" s="41"/>
      <c r="C515" s="48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ht="14.25" customHeight="1">
      <c r="A516" s="48"/>
      <c r="B516" s="41"/>
      <c r="C516" s="48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ht="14.25" customHeight="1">
      <c r="A517" s="48"/>
      <c r="B517" s="41"/>
      <c r="C517" s="48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ht="14.25" customHeight="1">
      <c r="A518" s="48"/>
      <c r="B518" s="41"/>
      <c r="C518" s="48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ht="14.25" customHeight="1">
      <c r="A519" s="48"/>
      <c r="B519" s="41"/>
      <c r="C519" s="48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ht="14.25" customHeight="1">
      <c r="A520" s="48"/>
      <c r="B520" s="41"/>
      <c r="C520" s="48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ht="14.25" customHeight="1">
      <c r="A521" s="48"/>
      <c r="B521" s="41"/>
      <c r="C521" s="48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ht="14.25" customHeight="1">
      <c r="A522" s="48"/>
      <c r="B522" s="41"/>
      <c r="C522" s="48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ht="14.25" customHeight="1">
      <c r="A523" s="48"/>
      <c r="B523" s="41"/>
      <c r="C523" s="48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14.25" customHeight="1">
      <c r="A524" s="48"/>
      <c r="B524" s="41"/>
      <c r="C524" s="48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ht="14.25" customHeight="1">
      <c r="A525" s="48"/>
      <c r="B525" s="41"/>
      <c r="C525" s="48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ht="14.25" customHeight="1">
      <c r="A526" s="48"/>
      <c r="B526" s="41"/>
      <c r="C526" s="48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ht="14.25" customHeight="1">
      <c r="A527" s="48"/>
      <c r="B527" s="41"/>
      <c r="C527" s="48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ht="14.25" customHeight="1">
      <c r="A528" s="48"/>
      <c r="B528" s="41"/>
      <c r="C528" s="48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ht="14.25" customHeight="1">
      <c r="A529" s="48"/>
      <c r="B529" s="41"/>
      <c r="C529" s="48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ht="14.25" customHeight="1">
      <c r="A530" s="48"/>
      <c r="B530" s="41"/>
      <c r="C530" s="48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ht="14.25" customHeight="1">
      <c r="A531" s="48"/>
      <c r="B531" s="41"/>
      <c r="C531" s="48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ht="14.25" customHeight="1">
      <c r="A532" s="48"/>
      <c r="B532" s="41"/>
      <c r="C532" s="48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ht="14.25" customHeight="1">
      <c r="A533" s="48"/>
      <c r="B533" s="41"/>
      <c r="C533" s="48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ht="14.25" customHeight="1">
      <c r="A534" s="48"/>
      <c r="B534" s="41"/>
      <c r="C534" s="48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ht="14.25" customHeight="1">
      <c r="A535" s="48"/>
      <c r="B535" s="41"/>
      <c r="C535" s="48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ht="14.25" customHeight="1">
      <c r="A536" s="48"/>
      <c r="B536" s="41"/>
      <c r="C536" s="48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ht="14.25" customHeight="1">
      <c r="A537" s="48"/>
      <c r="B537" s="41"/>
      <c r="C537" s="48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ht="14.25" customHeight="1">
      <c r="A538" s="48"/>
      <c r="B538" s="41"/>
      <c r="C538" s="48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ht="14.25" customHeight="1">
      <c r="A539" s="48"/>
      <c r="B539" s="41"/>
      <c r="C539" s="48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ht="14.25" customHeight="1">
      <c r="A540" s="48"/>
      <c r="B540" s="41"/>
      <c r="C540" s="48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ht="14.25" customHeight="1">
      <c r="A541" s="48"/>
      <c r="B541" s="41"/>
      <c r="C541" s="48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ht="14.25" customHeight="1">
      <c r="A542" s="48"/>
      <c r="B542" s="41"/>
      <c r="C542" s="48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ht="14.25" customHeight="1">
      <c r="A543" s="48"/>
      <c r="B543" s="41"/>
      <c r="C543" s="48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ht="14.25" customHeight="1">
      <c r="A544" s="48"/>
      <c r="B544" s="41"/>
      <c r="C544" s="48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ht="14.25" customHeight="1">
      <c r="A545" s="48"/>
      <c r="B545" s="41"/>
      <c r="C545" s="48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ht="14.25" customHeight="1">
      <c r="A546" s="48"/>
      <c r="B546" s="41"/>
      <c r="C546" s="48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ht="14.25" customHeight="1">
      <c r="A547" s="48"/>
      <c r="B547" s="41"/>
      <c r="C547" s="48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ht="14.25" customHeight="1">
      <c r="A548" s="48"/>
      <c r="B548" s="41"/>
      <c r="C548" s="48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ht="14.25" customHeight="1">
      <c r="A549" s="48"/>
      <c r="B549" s="41"/>
      <c r="C549" s="48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ht="14.25" customHeight="1">
      <c r="A550" s="48"/>
      <c r="B550" s="41"/>
      <c r="C550" s="48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ht="14.25" customHeight="1">
      <c r="A551" s="48"/>
      <c r="B551" s="41"/>
      <c r="C551" s="48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ht="14.25" customHeight="1">
      <c r="A552" s="48"/>
      <c r="B552" s="41"/>
      <c r="C552" s="48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ht="14.25" customHeight="1">
      <c r="A553" s="48"/>
      <c r="B553" s="41"/>
      <c r="C553" s="48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ht="14.25" customHeight="1">
      <c r="A554" s="48"/>
      <c r="B554" s="41"/>
      <c r="C554" s="48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ht="14.25" customHeight="1">
      <c r="A555" s="48"/>
      <c r="B555" s="41"/>
      <c r="C555" s="48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ht="14.25" customHeight="1">
      <c r="A556" s="48"/>
      <c r="B556" s="41"/>
      <c r="C556" s="48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ht="14.25" customHeight="1">
      <c r="A557" s="48"/>
      <c r="B557" s="41"/>
      <c r="C557" s="48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ht="14.25" customHeight="1">
      <c r="A558" s="48"/>
      <c r="B558" s="41"/>
      <c r="C558" s="48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ht="14.25" customHeight="1">
      <c r="A559" s="48"/>
      <c r="B559" s="41"/>
      <c r="C559" s="48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14.25" customHeight="1">
      <c r="A560" s="48"/>
      <c r="B560" s="41"/>
      <c r="C560" s="48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ht="14.25" customHeight="1">
      <c r="A561" s="48"/>
      <c r="B561" s="41"/>
      <c r="C561" s="48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ht="14.25" customHeight="1">
      <c r="A562" s="48"/>
      <c r="B562" s="41"/>
      <c r="C562" s="48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ht="14.25" customHeight="1">
      <c r="A563" s="48"/>
      <c r="B563" s="41"/>
      <c r="C563" s="48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ht="14.25" customHeight="1">
      <c r="A564" s="48"/>
      <c r="B564" s="41"/>
      <c r="C564" s="48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ht="14.25" customHeight="1">
      <c r="A565" s="48"/>
      <c r="B565" s="41"/>
      <c r="C565" s="48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ht="14.25" customHeight="1">
      <c r="A566" s="48"/>
      <c r="B566" s="41"/>
      <c r="C566" s="48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ht="14.25" customHeight="1">
      <c r="A567" s="48"/>
      <c r="B567" s="41"/>
      <c r="C567" s="48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ht="14.25" customHeight="1">
      <c r="A568" s="48"/>
      <c r="B568" s="41"/>
      <c r="C568" s="48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ht="14.25" customHeight="1">
      <c r="A569" s="48"/>
      <c r="B569" s="41"/>
      <c r="C569" s="48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ht="14.25" customHeight="1">
      <c r="A570" s="48"/>
      <c r="B570" s="41"/>
      <c r="C570" s="48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ht="14.25" customHeight="1">
      <c r="A571" s="48"/>
      <c r="B571" s="41"/>
      <c r="C571" s="48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ht="14.25" customHeight="1">
      <c r="A572" s="48"/>
      <c r="B572" s="41"/>
      <c r="C572" s="48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ht="14.25" customHeight="1">
      <c r="A573" s="48"/>
      <c r="B573" s="41"/>
      <c r="C573" s="48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ht="14.25" customHeight="1">
      <c r="A574" s="48"/>
      <c r="B574" s="41"/>
      <c r="C574" s="48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ht="14.25" customHeight="1">
      <c r="A575" s="48"/>
      <c r="B575" s="41"/>
      <c r="C575" s="48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ht="14.25" customHeight="1">
      <c r="A576" s="48"/>
      <c r="B576" s="41"/>
      <c r="C576" s="48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ht="14.25" customHeight="1">
      <c r="A577" s="48"/>
      <c r="B577" s="41"/>
      <c r="C577" s="48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ht="14.25" customHeight="1">
      <c r="A578" s="48"/>
      <c r="B578" s="41"/>
      <c r="C578" s="48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ht="14.25" customHeight="1">
      <c r="A579" s="48"/>
      <c r="B579" s="41"/>
      <c r="C579" s="48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14.25" customHeight="1">
      <c r="A580" s="48"/>
      <c r="B580" s="41"/>
      <c r="C580" s="48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ht="14.25" customHeight="1">
      <c r="A581" s="48"/>
      <c r="B581" s="41"/>
      <c r="C581" s="48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ht="14.25" customHeight="1">
      <c r="A582" s="48"/>
      <c r="B582" s="41"/>
      <c r="C582" s="48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ht="14.25" customHeight="1">
      <c r="A583" s="48"/>
      <c r="B583" s="41"/>
      <c r="C583" s="48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ht="14.25" customHeight="1">
      <c r="A584" s="48"/>
      <c r="B584" s="41"/>
      <c r="C584" s="48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ht="14.25" customHeight="1">
      <c r="A585" s="48"/>
      <c r="B585" s="41"/>
      <c r="C585" s="48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ht="14.25" customHeight="1">
      <c r="A586" s="48"/>
      <c r="B586" s="41"/>
      <c r="C586" s="48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ht="14.25" customHeight="1">
      <c r="A587" s="48"/>
      <c r="B587" s="41"/>
      <c r="C587" s="48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ht="14.25" customHeight="1">
      <c r="A588" s="48"/>
      <c r="B588" s="41"/>
      <c r="C588" s="48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ht="14.25" customHeight="1">
      <c r="A589" s="48"/>
      <c r="B589" s="41"/>
      <c r="C589" s="48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ht="14.25" customHeight="1">
      <c r="A590" s="48"/>
      <c r="B590" s="41"/>
      <c r="C590" s="48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ht="14.25" customHeight="1">
      <c r="A591" s="48"/>
      <c r="B591" s="41"/>
      <c r="C591" s="48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ht="14.25" customHeight="1">
      <c r="A592" s="48"/>
      <c r="B592" s="41"/>
      <c r="C592" s="48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ht="14.25" customHeight="1">
      <c r="A593" s="48"/>
      <c r="B593" s="41"/>
      <c r="C593" s="48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ht="14.25" customHeight="1">
      <c r="A594" s="48"/>
      <c r="B594" s="41"/>
      <c r="C594" s="48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ht="14.25" customHeight="1">
      <c r="A595" s="48"/>
      <c r="B595" s="41"/>
      <c r="C595" s="48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ht="14.25" customHeight="1">
      <c r="A596" s="48"/>
      <c r="B596" s="41"/>
      <c r="C596" s="48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ht="14.25" customHeight="1">
      <c r="A597" s="48"/>
      <c r="B597" s="41"/>
      <c r="C597" s="48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ht="14.25" customHeight="1">
      <c r="A598" s="48"/>
      <c r="B598" s="41"/>
      <c r="C598" s="48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ht="14.25" customHeight="1">
      <c r="A599" s="48"/>
      <c r="B599" s="41"/>
      <c r="C599" s="48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ht="14.25" customHeight="1">
      <c r="A600" s="48"/>
      <c r="B600" s="41"/>
      <c r="C600" s="48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ht="14.25" customHeight="1">
      <c r="A601" s="48"/>
      <c r="B601" s="41"/>
      <c r="C601" s="48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14.25" customHeight="1">
      <c r="A602" s="48"/>
      <c r="B602" s="41"/>
      <c r="C602" s="48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14.25" customHeight="1">
      <c r="A603" s="48"/>
      <c r="B603" s="41"/>
      <c r="C603" s="48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14.25" customHeight="1">
      <c r="A604" s="48"/>
      <c r="B604" s="41"/>
      <c r="C604" s="48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ht="14.25" customHeight="1">
      <c r="A605" s="48"/>
      <c r="B605" s="41"/>
      <c r="C605" s="48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ht="14.25" customHeight="1">
      <c r="A606" s="48"/>
      <c r="B606" s="41"/>
      <c r="C606" s="48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ht="14.25" customHeight="1">
      <c r="A607" s="48"/>
      <c r="B607" s="41"/>
      <c r="C607" s="48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ht="14.25" customHeight="1">
      <c r="A608" s="48"/>
      <c r="B608" s="41"/>
      <c r="C608" s="48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ht="14.25" customHeight="1">
      <c r="A609" s="48"/>
      <c r="B609" s="41"/>
      <c r="C609" s="48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ht="14.25" customHeight="1">
      <c r="A610" s="48"/>
      <c r="B610" s="41"/>
      <c r="C610" s="48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ht="14.25" customHeight="1">
      <c r="A611" s="48"/>
      <c r="B611" s="41"/>
      <c r="C611" s="48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ht="14.25" customHeight="1">
      <c r="A612" s="48"/>
      <c r="B612" s="41"/>
      <c r="C612" s="48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ht="14.25" customHeight="1">
      <c r="A613" s="48"/>
      <c r="B613" s="41"/>
      <c r="C613" s="48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ht="14.25" customHeight="1">
      <c r="A614" s="48"/>
      <c r="B614" s="41"/>
      <c r="C614" s="48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14.25" customHeight="1">
      <c r="A615" s="48"/>
      <c r="B615" s="41"/>
      <c r="C615" s="48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14.25" customHeight="1">
      <c r="A616" s="48"/>
      <c r="B616" s="41"/>
      <c r="C616" s="48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14.25" customHeight="1">
      <c r="A617" s="48"/>
      <c r="B617" s="41"/>
      <c r="C617" s="48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14.25" customHeight="1">
      <c r="A618" s="48"/>
      <c r="B618" s="41"/>
      <c r="C618" s="48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14.25" customHeight="1">
      <c r="A619" s="48"/>
      <c r="B619" s="41"/>
      <c r="C619" s="48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14.25" customHeight="1">
      <c r="A620" s="48"/>
      <c r="B620" s="41"/>
      <c r="C620" s="48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14.25" customHeight="1">
      <c r="A621" s="48"/>
      <c r="B621" s="41"/>
      <c r="C621" s="48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14.25" customHeight="1">
      <c r="A622" s="48"/>
      <c r="B622" s="41"/>
      <c r="C622" s="48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14.25" customHeight="1">
      <c r="A623" s="48"/>
      <c r="B623" s="41"/>
      <c r="C623" s="48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14.25" customHeight="1">
      <c r="A624" s="48"/>
      <c r="B624" s="41"/>
      <c r="C624" s="48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14.25" customHeight="1">
      <c r="A625" s="48"/>
      <c r="B625" s="41"/>
      <c r="C625" s="48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14.25" customHeight="1">
      <c r="A626" s="48"/>
      <c r="B626" s="41"/>
      <c r="C626" s="48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14.25" customHeight="1">
      <c r="A627" s="48"/>
      <c r="B627" s="41"/>
      <c r="C627" s="48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14.25" customHeight="1">
      <c r="A628" s="48"/>
      <c r="B628" s="41"/>
      <c r="C628" s="48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14.25" customHeight="1">
      <c r="A629" s="48"/>
      <c r="B629" s="41"/>
      <c r="C629" s="48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14.25" customHeight="1">
      <c r="A630" s="48"/>
      <c r="B630" s="41"/>
      <c r="C630" s="48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14.25" customHeight="1">
      <c r="A631" s="48"/>
      <c r="B631" s="41"/>
      <c r="C631" s="48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14.25" customHeight="1">
      <c r="A632" s="48"/>
      <c r="B632" s="41"/>
      <c r="C632" s="48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14.25" customHeight="1">
      <c r="A633" s="48"/>
      <c r="B633" s="41"/>
      <c r="C633" s="48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14.25" customHeight="1">
      <c r="A634" s="48"/>
      <c r="B634" s="41"/>
      <c r="C634" s="48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14.25" customHeight="1">
      <c r="A635" s="48"/>
      <c r="B635" s="41"/>
      <c r="C635" s="48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14.25" customHeight="1">
      <c r="A636" s="48"/>
      <c r="B636" s="41"/>
      <c r="C636" s="48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14.25" customHeight="1">
      <c r="A637" s="48"/>
      <c r="B637" s="41"/>
      <c r="C637" s="48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14.25" customHeight="1">
      <c r="A638" s="48"/>
      <c r="B638" s="41"/>
      <c r="C638" s="48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14.25" customHeight="1">
      <c r="A639" s="48"/>
      <c r="B639" s="41"/>
      <c r="C639" s="48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4.25" customHeight="1">
      <c r="A640" s="48"/>
      <c r="B640" s="41"/>
      <c r="C640" s="48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4.25" customHeight="1">
      <c r="A641" s="48"/>
      <c r="B641" s="41"/>
      <c r="C641" s="48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4.25" customHeight="1">
      <c r="A642" s="48"/>
      <c r="B642" s="41"/>
      <c r="C642" s="48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4.25" customHeight="1">
      <c r="A643" s="48"/>
      <c r="B643" s="41"/>
      <c r="C643" s="48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4.25" customHeight="1">
      <c r="A644" s="48"/>
      <c r="B644" s="41"/>
      <c r="C644" s="48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4.25" customHeight="1">
      <c r="A645" s="48"/>
      <c r="B645" s="41"/>
      <c r="C645" s="48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4.25" customHeight="1">
      <c r="A646" s="48"/>
      <c r="B646" s="41"/>
      <c r="C646" s="48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4.25" customHeight="1">
      <c r="A647" s="48"/>
      <c r="B647" s="41"/>
      <c r="C647" s="48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4.25" customHeight="1">
      <c r="A648" s="48"/>
      <c r="B648" s="41"/>
      <c r="C648" s="48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4.25" customHeight="1">
      <c r="A649" s="48"/>
      <c r="B649" s="41"/>
      <c r="C649" s="48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4.25" customHeight="1">
      <c r="A650" s="48"/>
      <c r="B650" s="41"/>
      <c r="C650" s="48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4.25" customHeight="1">
      <c r="A651" s="48"/>
      <c r="B651" s="41"/>
      <c r="C651" s="48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4.25" customHeight="1">
      <c r="A652" s="48"/>
      <c r="B652" s="41"/>
      <c r="C652" s="48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4.25" customHeight="1">
      <c r="A653" s="48"/>
      <c r="B653" s="41"/>
      <c r="C653" s="48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4.25" customHeight="1">
      <c r="A654" s="48"/>
      <c r="B654" s="41"/>
      <c r="C654" s="48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4.25" customHeight="1">
      <c r="A655" s="48"/>
      <c r="B655" s="41"/>
      <c r="C655" s="48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4.25" customHeight="1">
      <c r="A656" s="48"/>
      <c r="B656" s="41"/>
      <c r="C656" s="48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4.25" customHeight="1">
      <c r="A657" s="48"/>
      <c r="B657" s="41"/>
      <c r="C657" s="48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4.25" customHeight="1">
      <c r="A658" s="48"/>
      <c r="B658" s="41"/>
      <c r="C658" s="48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4.25" customHeight="1">
      <c r="A659" s="48"/>
      <c r="B659" s="41"/>
      <c r="C659" s="48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4.25" customHeight="1">
      <c r="A660" s="48"/>
      <c r="B660" s="41"/>
      <c r="C660" s="48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14.25" customHeight="1">
      <c r="A661" s="48"/>
      <c r="B661" s="41"/>
      <c r="C661" s="48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14.25" customHeight="1">
      <c r="A662" s="48"/>
      <c r="B662" s="41"/>
      <c r="C662" s="48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14.25" customHeight="1">
      <c r="A663" s="48"/>
      <c r="B663" s="41"/>
      <c r="C663" s="48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14.25" customHeight="1">
      <c r="A664" s="48"/>
      <c r="B664" s="41"/>
      <c r="C664" s="48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14.25" customHeight="1">
      <c r="A665" s="48"/>
      <c r="B665" s="41"/>
      <c r="C665" s="48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14.25" customHeight="1">
      <c r="A666" s="48"/>
      <c r="B666" s="41"/>
      <c r="C666" s="48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14.25" customHeight="1">
      <c r="A667" s="48"/>
      <c r="B667" s="41"/>
      <c r="C667" s="48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14.25" customHeight="1">
      <c r="A668" s="48"/>
      <c r="B668" s="41"/>
      <c r="C668" s="48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14.25" customHeight="1">
      <c r="A669" s="48"/>
      <c r="B669" s="41"/>
      <c r="C669" s="48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4.25" customHeight="1">
      <c r="A670" s="48"/>
      <c r="B670" s="41"/>
      <c r="C670" s="48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4.25" customHeight="1">
      <c r="A671" s="48"/>
      <c r="B671" s="41"/>
      <c r="C671" s="48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4.25" customHeight="1">
      <c r="A672" s="48"/>
      <c r="B672" s="41"/>
      <c r="C672" s="48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4.25" customHeight="1">
      <c r="A673" s="48"/>
      <c r="B673" s="41"/>
      <c r="C673" s="48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4.25" customHeight="1">
      <c r="A674" s="48"/>
      <c r="B674" s="41"/>
      <c r="C674" s="48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14.25" customHeight="1">
      <c r="A675" s="48"/>
      <c r="B675" s="41"/>
      <c r="C675" s="48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14.25" customHeight="1">
      <c r="A676" s="48"/>
      <c r="B676" s="41"/>
      <c r="C676" s="48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14.25" customHeight="1">
      <c r="A677" s="48"/>
      <c r="B677" s="41"/>
      <c r="C677" s="48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14.25" customHeight="1">
      <c r="A678" s="48"/>
      <c r="B678" s="41"/>
      <c r="C678" s="48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14.25" customHeight="1">
      <c r="A679" s="48"/>
      <c r="B679" s="41"/>
      <c r="C679" s="48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14.25" customHeight="1">
      <c r="A680" s="48"/>
      <c r="B680" s="41"/>
      <c r="C680" s="48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14.25" customHeight="1">
      <c r="A681" s="48"/>
      <c r="B681" s="41"/>
      <c r="C681" s="48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14.25" customHeight="1">
      <c r="A682" s="48"/>
      <c r="B682" s="41"/>
      <c r="C682" s="48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14.25" customHeight="1">
      <c r="A683" s="48"/>
      <c r="B683" s="41"/>
      <c r="C683" s="48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14.25" customHeight="1">
      <c r="A684" s="48"/>
      <c r="B684" s="41"/>
      <c r="C684" s="48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14.25" customHeight="1">
      <c r="A685" s="48"/>
      <c r="B685" s="41"/>
      <c r="C685" s="48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14.25" customHeight="1">
      <c r="A686" s="48"/>
      <c r="B686" s="41"/>
      <c r="C686" s="48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14.25" customHeight="1">
      <c r="A687" s="48"/>
      <c r="B687" s="41"/>
      <c r="C687" s="48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14.25" customHeight="1">
      <c r="A688" s="48"/>
      <c r="B688" s="41"/>
      <c r="C688" s="48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14.25" customHeight="1">
      <c r="A689" s="48"/>
      <c r="B689" s="41"/>
      <c r="C689" s="48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14.25" customHeight="1">
      <c r="A690" s="48"/>
      <c r="B690" s="41"/>
      <c r="C690" s="48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4.25" customHeight="1">
      <c r="A691" s="48"/>
      <c r="B691" s="41"/>
      <c r="C691" s="48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4.25" customHeight="1">
      <c r="A692" s="48"/>
      <c r="B692" s="41"/>
      <c r="C692" s="48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4.25" customHeight="1">
      <c r="A693" s="48"/>
      <c r="B693" s="41"/>
      <c r="C693" s="48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14.25" customHeight="1">
      <c r="A694" s="48"/>
      <c r="B694" s="41"/>
      <c r="C694" s="48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4.25" customHeight="1">
      <c r="A695" s="48"/>
      <c r="B695" s="41"/>
      <c r="C695" s="48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4.25" customHeight="1">
      <c r="A696" s="48"/>
      <c r="B696" s="41"/>
      <c r="C696" s="48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4.25" customHeight="1">
      <c r="A697" s="48"/>
      <c r="B697" s="41"/>
      <c r="C697" s="48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14.25" customHeight="1">
      <c r="A698" s="48"/>
      <c r="B698" s="41"/>
      <c r="C698" s="48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14.25" customHeight="1">
      <c r="A699" s="48"/>
      <c r="B699" s="41"/>
      <c r="C699" s="48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14.25" customHeight="1">
      <c r="A700" s="48"/>
      <c r="B700" s="41"/>
      <c r="C700" s="48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14.25" customHeight="1">
      <c r="A701" s="48"/>
      <c r="B701" s="41"/>
      <c r="C701" s="48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14.25" customHeight="1">
      <c r="A702" s="48"/>
      <c r="B702" s="41"/>
      <c r="C702" s="48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14.25" customHeight="1">
      <c r="A703" s="48"/>
      <c r="B703" s="41"/>
      <c r="C703" s="48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14.25" customHeight="1">
      <c r="A704" s="48"/>
      <c r="B704" s="41"/>
      <c r="C704" s="48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14.25" customHeight="1">
      <c r="A705" s="48"/>
      <c r="B705" s="41"/>
      <c r="C705" s="48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14.25" customHeight="1">
      <c r="A706" s="48"/>
      <c r="B706" s="41"/>
      <c r="C706" s="48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14.25" customHeight="1">
      <c r="A707" s="48"/>
      <c r="B707" s="41"/>
      <c r="C707" s="48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14.25" customHeight="1">
      <c r="A708" s="48"/>
      <c r="B708" s="41"/>
      <c r="C708" s="48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14.25" customHeight="1">
      <c r="A709" s="48"/>
      <c r="B709" s="41"/>
      <c r="C709" s="48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4.25" customHeight="1">
      <c r="A710" s="48"/>
      <c r="B710" s="41"/>
      <c r="C710" s="48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14.25" customHeight="1">
      <c r="A711" s="48"/>
      <c r="B711" s="41"/>
      <c r="C711" s="48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14.25" customHeight="1">
      <c r="A712" s="48"/>
      <c r="B712" s="41"/>
      <c r="C712" s="48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14.25" customHeight="1">
      <c r="A713" s="48"/>
      <c r="B713" s="41"/>
      <c r="C713" s="48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14.25" customHeight="1">
      <c r="A714" s="48"/>
      <c r="B714" s="41"/>
      <c r="C714" s="48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14.25" customHeight="1">
      <c r="A715" s="48"/>
      <c r="B715" s="41"/>
      <c r="C715" s="48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14.25" customHeight="1">
      <c r="A716" s="48"/>
      <c r="B716" s="41"/>
      <c r="C716" s="48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14.25" customHeight="1">
      <c r="A717" s="48"/>
      <c r="B717" s="41"/>
      <c r="C717" s="48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14.25" customHeight="1">
      <c r="A718" s="48"/>
      <c r="B718" s="41"/>
      <c r="C718" s="48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4.25" customHeight="1">
      <c r="A719" s="48"/>
      <c r="B719" s="41"/>
      <c r="C719" s="48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4.25" customHeight="1">
      <c r="A720" s="48"/>
      <c r="B720" s="41"/>
      <c r="C720" s="48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4.25" customHeight="1">
      <c r="A721" s="48"/>
      <c r="B721" s="41"/>
      <c r="C721" s="48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14.25" customHeight="1">
      <c r="A722" s="48"/>
      <c r="B722" s="41"/>
      <c r="C722" s="48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4.25" customHeight="1">
      <c r="A723" s="48"/>
      <c r="B723" s="41"/>
      <c r="C723" s="48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14.25" customHeight="1">
      <c r="A724" s="48"/>
      <c r="B724" s="41"/>
      <c r="C724" s="48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14.25" customHeight="1">
      <c r="A725" s="48"/>
      <c r="B725" s="41"/>
      <c r="C725" s="48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14.25" customHeight="1">
      <c r="A726" s="48"/>
      <c r="B726" s="41"/>
      <c r="C726" s="48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14.25" customHeight="1">
      <c r="A727" s="48"/>
      <c r="B727" s="41"/>
      <c r="C727" s="48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14.25" customHeight="1">
      <c r="A728" s="48"/>
      <c r="B728" s="41"/>
      <c r="C728" s="48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14.25" customHeight="1">
      <c r="A729" s="48"/>
      <c r="B729" s="41"/>
      <c r="C729" s="48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14.25" customHeight="1">
      <c r="A730" s="48"/>
      <c r="B730" s="41"/>
      <c r="C730" s="48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14.25" customHeight="1">
      <c r="A731" s="48"/>
      <c r="B731" s="41"/>
      <c r="C731" s="48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14.25" customHeight="1">
      <c r="A732" s="48"/>
      <c r="B732" s="41"/>
      <c r="C732" s="48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14.25" customHeight="1">
      <c r="A733" s="48"/>
      <c r="B733" s="41"/>
      <c r="C733" s="48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14.25" customHeight="1">
      <c r="A734" s="48"/>
      <c r="B734" s="41"/>
      <c r="C734" s="48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14.25" customHeight="1">
      <c r="A735" s="48"/>
      <c r="B735" s="41"/>
      <c r="C735" s="48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14.25" customHeight="1">
      <c r="A736" s="48"/>
      <c r="B736" s="41"/>
      <c r="C736" s="48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14.25" customHeight="1">
      <c r="A737" s="48"/>
      <c r="B737" s="41"/>
      <c r="C737" s="48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14.25" customHeight="1">
      <c r="A738" s="48"/>
      <c r="B738" s="41"/>
      <c r="C738" s="48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14.25" customHeight="1">
      <c r="A739" s="48"/>
      <c r="B739" s="41"/>
      <c r="C739" s="48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14.25" customHeight="1">
      <c r="A740" s="48"/>
      <c r="B740" s="41"/>
      <c r="C740" s="48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14.25" customHeight="1">
      <c r="A741" s="48"/>
      <c r="B741" s="41"/>
      <c r="C741" s="48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14.25" customHeight="1">
      <c r="A742" s="48"/>
      <c r="B742" s="41"/>
      <c r="C742" s="48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14.25" customHeight="1">
      <c r="A743" s="48"/>
      <c r="B743" s="41"/>
      <c r="C743" s="48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14.25" customHeight="1">
      <c r="A744" s="48"/>
      <c r="B744" s="41"/>
      <c r="C744" s="48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14.25" customHeight="1">
      <c r="A745" s="48"/>
      <c r="B745" s="41"/>
      <c r="C745" s="48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14.25" customHeight="1">
      <c r="A746" s="48"/>
      <c r="B746" s="41"/>
      <c r="C746" s="48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14.25" customHeight="1">
      <c r="A747" s="48"/>
      <c r="B747" s="41"/>
      <c r="C747" s="48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14.25" customHeight="1">
      <c r="A748" s="48"/>
      <c r="B748" s="41"/>
      <c r="C748" s="48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14.25" customHeight="1">
      <c r="A749" s="48"/>
      <c r="B749" s="41"/>
      <c r="C749" s="48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14.25" customHeight="1">
      <c r="A750" s="48"/>
      <c r="B750" s="41"/>
      <c r="C750" s="48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14.25" customHeight="1">
      <c r="A751" s="48"/>
      <c r="B751" s="41"/>
      <c r="C751" s="48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14.25" customHeight="1">
      <c r="A752" s="48"/>
      <c r="B752" s="41"/>
      <c r="C752" s="48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14.25" customHeight="1">
      <c r="A753" s="48"/>
      <c r="B753" s="41"/>
      <c r="C753" s="48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14.25" customHeight="1">
      <c r="A754" s="48"/>
      <c r="B754" s="41"/>
      <c r="C754" s="48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14.25" customHeight="1">
      <c r="A755" s="48"/>
      <c r="B755" s="41"/>
      <c r="C755" s="48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14.25" customHeight="1">
      <c r="A756" s="48"/>
      <c r="B756" s="41"/>
      <c r="C756" s="48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14.25" customHeight="1">
      <c r="A757" s="48"/>
      <c r="B757" s="41"/>
      <c r="C757" s="48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14.25" customHeight="1">
      <c r="A758" s="48"/>
      <c r="B758" s="41"/>
      <c r="C758" s="48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14.25" customHeight="1">
      <c r="A759" s="48"/>
      <c r="B759" s="41"/>
      <c r="C759" s="48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14.25" customHeight="1">
      <c r="A760" s="48"/>
      <c r="B760" s="41"/>
      <c r="C760" s="48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14.25" customHeight="1">
      <c r="A761" s="48"/>
      <c r="B761" s="41"/>
      <c r="C761" s="48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14.25" customHeight="1">
      <c r="A762" s="48"/>
      <c r="B762" s="41"/>
      <c r="C762" s="48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14.25" customHeight="1">
      <c r="A763" s="48"/>
      <c r="B763" s="41"/>
      <c r="C763" s="48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14.25" customHeight="1">
      <c r="A764" s="48"/>
      <c r="B764" s="41"/>
      <c r="C764" s="48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14.25" customHeight="1">
      <c r="A765" s="48"/>
      <c r="B765" s="41"/>
      <c r="C765" s="48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14.25" customHeight="1">
      <c r="A766" s="48"/>
      <c r="B766" s="41"/>
      <c r="C766" s="48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14.25" customHeight="1">
      <c r="A767" s="48"/>
      <c r="B767" s="41"/>
      <c r="C767" s="48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14.25" customHeight="1">
      <c r="A768" s="48"/>
      <c r="B768" s="41"/>
      <c r="C768" s="48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14.25" customHeight="1">
      <c r="A769" s="48"/>
      <c r="B769" s="41"/>
      <c r="C769" s="48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14.25" customHeight="1">
      <c r="A770" s="48"/>
      <c r="B770" s="41"/>
      <c r="C770" s="48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14.25" customHeight="1">
      <c r="A771" s="48"/>
      <c r="B771" s="41"/>
      <c r="C771" s="48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14.25" customHeight="1">
      <c r="A772" s="48"/>
      <c r="B772" s="41"/>
      <c r="C772" s="48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14.25" customHeight="1">
      <c r="A773" s="48"/>
      <c r="B773" s="41"/>
      <c r="C773" s="48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14.25" customHeight="1">
      <c r="A774" s="48"/>
      <c r="B774" s="41"/>
      <c r="C774" s="48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14.25" customHeight="1">
      <c r="A775" s="48"/>
      <c r="B775" s="41"/>
      <c r="C775" s="48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14.25" customHeight="1">
      <c r="A776" s="48"/>
      <c r="B776" s="41"/>
      <c r="C776" s="48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14.25" customHeight="1">
      <c r="A777" s="48"/>
      <c r="B777" s="41"/>
      <c r="C777" s="48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14.25" customHeight="1">
      <c r="A778" s="48"/>
      <c r="B778" s="41"/>
      <c r="C778" s="48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14.25" customHeight="1">
      <c r="A779" s="48"/>
      <c r="B779" s="41"/>
      <c r="C779" s="48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14.25" customHeight="1">
      <c r="A780" s="48"/>
      <c r="B780" s="41"/>
      <c r="C780" s="48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14.25" customHeight="1">
      <c r="A781" s="48"/>
      <c r="B781" s="41"/>
      <c r="C781" s="48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14.25" customHeight="1">
      <c r="A782" s="48"/>
      <c r="B782" s="41"/>
      <c r="C782" s="48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14.25" customHeight="1">
      <c r="A783" s="48"/>
      <c r="B783" s="41"/>
      <c r="C783" s="48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14.25" customHeight="1">
      <c r="A784" s="48"/>
      <c r="B784" s="41"/>
      <c r="C784" s="48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14.25" customHeight="1">
      <c r="A785" s="48"/>
      <c r="B785" s="41"/>
      <c r="C785" s="48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14.25" customHeight="1">
      <c r="A786" s="48"/>
      <c r="B786" s="41"/>
      <c r="C786" s="48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14.25" customHeight="1">
      <c r="A787" s="48"/>
      <c r="B787" s="41"/>
      <c r="C787" s="48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14.25" customHeight="1">
      <c r="A788" s="48"/>
      <c r="B788" s="41"/>
      <c r="C788" s="48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14.25" customHeight="1">
      <c r="A789" s="48"/>
      <c r="B789" s="41"/>
      <c r="C789" s="48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14.25" customHeight="1">
      <c r="A790" s="48"/>
      <c r="B790" s="41"/>
      <c r="C790" s="48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14.25" customHeight="1">
      <c r="A791" s="48"/>
      <c r="B791" s="41"/>
      <c r="C791" s="48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14.25" customHeight="1">
      <c r="A792" s="48"/>
      <c r="B792" s="41"/>
      <c r="C792" s="48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14.25" customHeight="1">
      <c r="A793" s="48"/>
      <c r="B793" s="41"/>
      <c r="C793" s="48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14.25" customHeight="1">
      <c r="A794" s="48"/>
      <c r="B794" s="41"/>
      <c r="C794" s="48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14.25" customHeight="1">
      <c r="A795" s="48"/>
      <c r="B795" s="41"/>
      <c r="C795" s="48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14.25" customHeight="1">
      <c r="A796" s="48"/>
      <c r="B796" s="41"/>
      <c r="C796" s="48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14.25" customHeight="1">
      <c r="A797" s="48"/>
      <c r="B797" s="41"/>
      <c r="C797" s="48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14.25" customHeight="1">
      <c r="A798" s="48"/>
      <c r="B798" s="41"/>
      <c r="C798" s="48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14.25" customHeight="1">
      <c r="A799" s="48"/>
      <c r="B799" s="41"/>
      <c r="C799" s="48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14.25" customHeight="1">
      <c r="A800" s="48"/>
      <c r="B800" s="41"/>
      <c r="C800" s="48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14.25" customHeight="1">
      <c r="A801" s="48"/>
      <c r="B801" s="41"/>
      <c r="C801" s="48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14.25" customHeight="1">
      <c r="A802" s="48"/>
      <c r="B802" s="41"/>
      <c r="C802" s="48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14.25" customHeight="1">
      <c r="A803" s="48"/>
      <c r="B803" s="41"/>
      <c r="C803" s="48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14.25" customHeight="1">
      <c r="A804" s="48"/>
      <c r="B804" s="41"/>
      <c r="C804" s="48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14.25" customHeight="1">
      <c r="A805" s="48"/>
      <c r="B805" s="41"/>
      <c r="C805" s="48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14.25" customHeight="1">
      <c r="A806" s="48"/>
      <c r="B806" s="41"/>
      <c r="C806" s="48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14.25" customHeight="1">
      <c r="A807" s="48"/>
      <c r="B807" s="41"/>
      <c r="C807" s="48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14.25" customHeight="1">
      <c r="A808" s="48"/>
      <c r="B808" s="41"/>
      <c r="C808" s="48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14.25" customHeight="1">
      <c r="A809" s="48"/>
      <c r="B809" s="41"/>
      <c r="C809" s="48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14.25" customHeight="1">
      <c r="A810" s="48"/>
      <c r="B810" s="41"/>
      <c r="C810" s="48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14.25" customHeight="1">
      <c r="A811" s="48"/>
      <c r="B811" s="41"/>
      <c r="C811" s="48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14.25" customHeight="1">
      <c r="A812" s="48"/>
      <c r="B812" s="41"/>
      <c r="C812" s="48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14.25" customHeight="1">
      <c r="A813" s="48"/>
      <c r="B813" s="41"/>
      <c r="C813" s="48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14.25" customHeight="1">
      <c r="A814" s="48"/>
      <c r="B814" s="41"/>
      <c r="C814" s="48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14.25" customHeight="1">
      <c r="A815" s="48"/>
      <c r="B815" s="41"/>
      <c r="C815" s="48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14.25" customHeight="1">
      <c r="A816" s="48"/>
      <c r="B816" s="41"/>
      <c r="C816" s="48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14.25" customHeight="1">
      <c r="A817" s="48"/>
      <c r="B817" s="41"/>
      <c r="C817" s="48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14.25" customHeight="1">
      <c r="A818" s="48"/>
      <c r="B818" s="41"/>
      <c r="C818" s="48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14.25" customHeight="1">
      <c r="A819" s="48"/>
      <c r="B819" s="41"/>
      <c r="C819" s="48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14.25" customHeight="1">
      <c r="A820" s="48"/>
      <c r="B820" s="41"/>
      <c r="C820" s="48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14.25" customHeight="1">
      <c r="A821" s="48"/>
      <c r="B821" s="41"/>
      <c r="C821" s="48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14.25" customHeight="1">
      <c r="A822" s="48"/>
      <c r="B822" s="41"/>
      <c r="C822" s="48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14.25" customHeight="1">
      <c r="A823" s="48"/>
      <c r="B823" s="41"/>
      <c r="C823" s="48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14.25" customHeight="1">
      <c r="A824" s="48"/>
      <c r="B824" s="41"/>
      <c r="C824" s="48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14.25" customHeight="1">
      <c r="A825" s="48"/>
      <c r="B825" s="41"/>
      <c r="C825" s="48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14.25" customHeight="1">
      <c r="A826" s="48"/>
      <c r="B826" s="41"/>
      <c r="C826" s="48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14.25" customHeight="1">
      <c r="A827" s="48"/>
      <c r="B827" s="41"/>
      <c r="C827" s="48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14.25" customHeight="1">
      <c r="A828" s="48"/>
      <c r="B828" s="41"/>
      <c r="C828" s="48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14.25" customHeight="1">
      <c r="A829" s="48"/>
      <c r="B829" s="41"/>
      <c r="C829" s="48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14.25" customHeight="1">
      <c r="A830" s="48"/>
      <c r="B830" s="41"/>
      <c r="C830" s="48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14.25" customHeight="1">
      <c r="A831" s="48"/>
      <c r="B831" s="41"/>
      <c r="C831" s="48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14.25" customHeight="1">
      <c r="A832" s="48"/>
      <c r="B832" s="41"/>
      <c r="C832" s="48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14.25" customHeight="1">
      <c r="A833" s="48"/>
      <c r="B833" s="41"/>
      <c r="C833" s="48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14.25" customHeight="1">
      <c r="A834" s="48"/>
      <c r="B834" s="41"/>
      <c r="C834" s="48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14.25" customHeight="1">
      <c r="A835" s="48"/>
      <c r="B835" s="41"/>
      <c r="C835" s="48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14.25" customHeight="1">
      <c r="A836" s="48"/>
      <c r="B836" s="41"/>
      <c r="C836" s="48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14.25" customHeight="1">
      <c r="A837" s="48"/>
      <c r="B837" s="41"/>
      <c r="C837" s="48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14.25" customHeight="1">
      <c r="A838" s="48"/>
      <c r="B838" s="41"/>
      <c r="C838" s="48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14.25" customHeight="1">
      <c r="A839" s="48"/>
      <c r="B839" s="41"/>
      <c r="C839" s="48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14.25" customHeight="1">
      <c r="A840" s="48"/>
      <c r="B840" s="41"/>
      <c r="C840" s="48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14.25" customHeight="1">
      <c r="A841" s="48"/>
      <c r="B841" s="41"/>
      <c r="C841" s="48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14.25" customHeight="1">
      <c r="A842" s="48"/>
      <c r="B842" s="41"/>
      <c r="C842" s="48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14.25" customHeight="1">
      <c r="A843" s="48"/>
      <c r="B843" s="41"/>
      <c r="C843" s="48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14.25" customHeight="1">
      <c r="A844" s="48"/>
      <c r="B844" s="41"/>
      <c r="C844" s="48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14.25" customHeight="1">
      <c r="A845" s="48"/>
      <c r="B845" s="41"/>
      <c r="C845" s="48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14.25" customHeight="1">
      <c r="A846" s="48"/>
      <c r="B846" s="41"/>
      <c r="C846" s="48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14.25" customHeight="1">
      <c r="A847" s="48"/>
      <c r="B847" s="41"/>
      <c r="C847" s="48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14.25" customHeight="1">
      <c r="A848" s="48"/>
      <c r="B848" s="41"/>
      <c r="C848" s="48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14.25" customHeight="1">
      <c r="A849" s="48"/>
      <c r="B849" s="41"/>
      <c r="C849" s="48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14.25" customHeight="1">
      <c r="A850" s="48"/>
      <c r="B850" s="41"/>
      <c r="C850" s="48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14.25" customHeight="1">
      <c r="A851" s="48"/>
      <c r="B851" s="41"/>
      <c r="C851" s="48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14.25" customHeight="1">
      <c r="A852" s="48"/>
      <c r="B852" s="41"/>
      <c r="C852" s="48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14.25" customHeight="1">
      <c r="A853" s="48"/>
      <c r="B853" s="41"/>
      <c r="C853" s="48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14.25" customHeight="1">
      <c r="A854" s="48"/>
      <c r="B854" s="41"/>
      <c r="C854" s="48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14.25" customHeight="1">
      <c r="A855" s="48"/>
      <c r="B855" s="41"/>
      <c r="C855" s="48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14.25" customHeight="1">
      <c r="A856" s="48"/>
      <c r="B856" s="41"/>
      <c r="C856" s="48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14.25" customHeight="1">
      <c r="A857" s="48"/>
      <c r="B857" s="41"/>
      <c r="C857" s="48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14.25" customHeight="1">
      <c r="A858" s="48"/>
      <c r="B858" s="41"/>
      <c r="C858" s="48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14.25" customHeight="1">
      <c r="A859" s="48"/>
      <c r="B859" s="41"/>
      <c r="C859" s="48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14.25" customHeight="1">
      <c r="A860" s="48"/>
      <c r="B860" s="41"/>
      <c r="C860" s="48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14.25" customHeight="1">
      <c r="A861" s="48"/>
      <c r="B861" s="41"/>
      <c r="C861" s="48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14.25" customHeight="1">
      <c r="A862" s="48"/>
      <c r="B862" s="41"/>
      <c r="C862" s="48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14.25" customHeight="1">
      <c r="A863" s="48"/>
      <c r="B863" s="41"/>
      <c r="C863" s="48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14.25" customHeight="1">
      <c r="A864" s="48"/>
      <c r="B864" s="41"/>
      <c r="C864" s="48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14.25" customHeight="1">
      <c r="A865" s="48"/>
      <c r="B865" s="41"/>
      <c r="C865" s="48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14.25" customHeight="1">
      <c r="A866" s="48"/>
      <c r="B866" s="41"/>
      <c r="C866" s="48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14.25" customHeight="1">
      <c r="A867" s="48"/>
      <c r="B867" s="41"/>
      <c r="C867" s="48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14.25" customHeight="1">
      <c r="A868" s="48"/>
      <c r="B868" s="41"/>
      <c r="C868" s="48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14.25" customHeight="1">
      <c r="A869" s="48"/>
      <c r="B869" s="41"/>
      <c r="C869" s="48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14.25" customHeight="1">
      <c r="A870" s="48"/>
      <c r="B870" s="41"/>
      <c r="C870" s="48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14.25" customHeight="1">
      <c r="A871" s="48"/>
      <c r="B871" s="41"/>
      <c r="C871" s="48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14.25" customHeight="1">
      <c r="A872" s="48"/>
      <c r="B872" s="41"/>
      <c r="C872" s="48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14.25" customHeight="1">
      <c r="A873" s="48"/>
      <c r="B873" s="41"/>
      <c r="C873" s="48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14.25" customHeight="1">
      <c r="A874" s="48"/>
      <c r="B874" s="41"/>
      <c r="C874" s="48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14.25" customHeight="1">
      <c r="A875" s="48"/>
      <c r="B875" s="41"/>
      <c r="C875" s="48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14.25" customHeight="1">
      <c r="A876" s="48"/>
      <c r="B876" s="41"/>
      <c r="C876" s="48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14.25" customHeight="1">
      <c r="A877" s="48"/>
      <c r="B877" s="41"/>
      <c r="C877" s="48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14.25" customHeight="1">
      <c r="A878" s="48"/>
      <c r="B878" s="41"/>
      <c r="C878" s="48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14.25" customHeight="1">
      <c r="A879" s="48"/>
      <c r="B879" s="41"/>
      <c r="C879" s="48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14.25" customHeight="1">
      <c r="A880" s="48"/>
      <c r="B880" s="41"/>
      <c r="C880" s="48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14.25" customHeight="1">
      <c r="A881" s="48"/>
      <c r="B881" s="41"/>
      <c r="C881" s="48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14.25" customHeight="1">
      <c r="A882" s="48"/>
      <c r="B882" s="41"/>
      <c r="C882" s="48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14.25" customHeight="1">
      <c r="A883" s="48"/>
      <c r="B883" s="41"/>
      <c r="C883" s="48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14.25" customHeight="1">
      <c r="A884" s="48"/>
      <c r="B884" s="41"/>
      <c r="C884" s="48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14.25" customHeight="1">
      <c r="A885" s="48"/>
      <c r="B885" s="41"/>
      <c r="C885" s="48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14.25" customHeight="1">
      <c r="A886" s="48"/>
      <c r="B886" s="41"/>
      <c r="C886" s="48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14.25" customHeight="1">
      <c r="A887" s="48"/>
      <c r="B887" s="41"/>
      <c r="C887" s="48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14.25" customHeight="1">
      <c r="A888" s="48"/>
      <c r="B888" s="41"/>
      <c r="C888" s="48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14.25" customHeight="1">
      <c r="A889" s="48"/>
      <c r="B889" s="41"/>
      <c r="C889" s="48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14.25" customHeight="1">
      <c r="A890" s="48"/>
      <c r="B890" s="41"/>
      <c r="C890" s="48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14.25" customHeight="1">
      <c r="A891" s="48"/>
      <c r="B891" s="41"/>
      <c r="C891" s="48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14.25" customHeight="1">
      <c r="A892" s="48"/>
      <c r="B892" s="41"/>
      <c r="C892" s="48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14.25" customHeight="1">
      <c r="A893" s="48"/>
      <c r="B893" s="41"/>
      <c r="C893" s="48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14.25" customHeight="1">
      <c r="A894" s="48"/>
      <c r="B894" s="41"/>
      <c r="C894" s="48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14.25" customHeight="1">
      <c r="A895" s="48"/>
      <c r="B895" s="41"/>
      <c r="C895" s="48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14.25" customHeight="1">
      <c r="A896" s="48"/>
      <c r="B896" s="41"/>
      <c r="C896" s="48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14.25" customHeight="1">
      <c r="A897" s="48"/>
      <c r="B897" s="41"/>
      <c r="C897" s="48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14.25" customHeight="1">
      <c r="A898" s="48"/>
      <c r="B898" s="41"/>
      <c r="C898" s="48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14.25" customHeight="1">
      <c r="A899" s="48"/>
      <c r="B899" s="41"/>
      <c r="C899" s="48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14.25" customHeight="1">
      <c r="A900" s="48"/>
      <c r="B900" s="41"/>
      <c r="C900" s="48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14.25" customHeight="1">
      <c r="A901" s="48"/>
      <c r="B901" s="41"/>
      <c r="C901" s="48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14.25" customHeight="1">
      <c r="A902" s="48"/>
      <c r="B902" s="41"/>
      <c r="C902" s="48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14.25" customHeight="1">
      <c r="A903" s="48"/>
      <c r="B903" s="41"/>
      <c r="C903" s="48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14.25" customHeight="1">
      <c r="A904" s="48"/>
      <c r="B904" s="41"/>
      <c r="C904" s="48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14.25" customHeight="1">
      <c r="A905" s="48"/>
      <c r="B905" s="41"/>
      <c r="C905" s="48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14.25" customHeight="1">
      <c r="A906" s="48"/>
      <c r="B906" s="41"/>
      <c r="C906" s="48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14.25" customHeight="1">
      <c r="A907" s="48"/>
      <c r="B907" s="41"/>
      <c r="C907" s="48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14.25" customHeight="1">
      <c r="A908" s="48"/>
      <c r="B908" s="41"/>
      <c r="C908" s="48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14.25" customHeight="1">
      <c r="A909" s="48"/>
      <c r="B909" s="41"/>
      <c r="C909" s="48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14.25" customHeight="1">
      <c r="A910" s="48"/>
      <c r="B910" s="41"/>
      <c r="C910" s="48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14.25" customHeight="1">
      <c r="A911" s="48"/>
      <c r="B911" s="41"/>
      <c r="C911" s="48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14.25" customHeight="1">
      <c r="A912" s="48"/>
      <c r="B912" s="41"/>
      <c r="C912" s="48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14.25" customHeight="1">
      <c r="A913" s="48"/>
      <c r="B913" s="41"/>
      <c r="C913" s="48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14.25" customHeight="1">
      <c r="A914" s="48"/>
      <c r="B914" s="41"/>
      <c r="C914" s="48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14.25" customHeight="1">
      <c r="A915" s="48"/>
      <c r="B915" s="41"/>
      <c r="C915" s="48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14.25" customHeight="1">
      <c r="A916" s="48"/>
      <c r="B916" s="41"/>
      <c r="C916" s="48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14.25" customHeight="1">
      <c r="A917" s="48"/>
      <c r="B917" s="41"/>
      <c r="C917" s="48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14.25" customHeight="1">
      <c r="A918" s="48"/>
      <c r="B918" s="41"/>
      <c r="C918" s="48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14.25" customHeight="1">
      <c r="A919" s="48"/>
      <c r="B919" s="41"/>
      <c r="C919" s="48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14.25" customHeight="1">
      <c r="A920" s="48"/>
      <c r="B920" s="41"/>
      <c r="C920" s="48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14.25" customHeight="1">
      <c r="A921" s="48"/>
      <c r="B921" s="41"/>
      <c r="C921" s="48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14.25" customHeight="1">
      <c r="A922" s="48"/>
      <c r="B922" s="41"/>
      <c r="C922" s="48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14.25" customHeight="1">
      <c r="A923" s="48"/>
      <c r="B923" s="41"/>
      <c r="C923" s="48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14.25" customHeight="1">
      <c r="A924" s="48"/>
      <c r="B924" s="41"/>
      <c r="C924" s="48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14.25" customHeight="1">
      <c r="A925" s="48"/>
      <c r="B925" s="41"/>
      <c r="C925" s="48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14.25" customHeight="1">
      <c r="A926" s="48"/>
      <c r="B926" s="41"/>
      <c r="C926" s="48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14.25" customHeight="1">
      <c r="A927" s="48"/>
      <c r="B927" s="41"/>
      <c r="C927" s="48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14.25" customHeight="1">
      <c r="A928" s="48"/>
      <c r="B928" s="41"/>
      <c r="C928" s="48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14.25" customHeight="1">
      <c r="A929" s="48"/>
      <c r="B929" s="41"/>
      <c r="C929" s="48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14.25" customHeight="1">
      <c r="A930" s="48"/>
      <c r="B930" s="41"/>
      <c r="C930" s="48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14.25" customHeight="1">
      <c r="A931" s="48"/>
      <c r="B931" s="41"/>
      <c r="C931" s="48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14.25" customHeight="1">
      <c r="A932" s="48"/>
      <c r="B932" s="41"/>
      <c r="C932" s="48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14.25" customHeight="1">
      <c r="A933" s="48"/>
      <c r="B933" s="41"/>
      <c r="C933" s="48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14.25" customHeight="1">
      <c r="A934" s="48"/>
      <c r="B934" s="41"/>
      <c r="C934" s="48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14.25" customHeight="1">
      <c r="A935" s="48"/>
      <c r="B935" s="41"/>
      <c r="C935" s="48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14.25" customHeight="1">
      <c r="A936" s="48"/>
      <c r="B936" s="41"/>
      <c r="C936" s="48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14.25" customHeight="1">
      <c r="A937" s="48"/>
      <c r="B937" s="41"/>
      <c r="C937" s="48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14.25" customHeight="1">
      <c r="A938" s="48"/>
      <c r="B938" s="41"/>
      <c r="C938" s="48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14.25" customHeight="1">
      <c r="A939" s="48"/>
      <c r="B939" s="41"/>
      <c r="C939" s="48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14.25" customHeight="1">
      <c r="A940" s="48"/>
      <c r="B940" s="41"/>
      <c r="C940" s="48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14.25" customHeight="1">
      <c r="A941" s="48"/>
      <c r="B941" s="41"/>
      <c r="C941" s="48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14.25" customHeight="1">
      <c r="A942" s="48"/>
      <c r="B942" s="41"/>
      <c r="C942" s="48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14.25" customHeight="1">
      <c r="A943" s="48"/>
      <c r="B943" s="41"/>
      <c r="C943" s="48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14.25" customHeight="1">
      <c r="A944" s="48"/>
      <c r="B944" s="41"/>
      <c r="C944" s="48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14.25" customHeight="1">
      <c r="A945" s="48"/>
      <c r="B945" s="41"/>
      <c r="C945" s="48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14.25" customHeight="1">
      <c r="A946" s="48"/>
      <c r="B946" s="41"/>
      <c r="C946" s="48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14.25" customHeight="1">
      <c r="A947" s="48"/>
      <c r="B947" s="41"/>
      <c r="C947" s="48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14.25" customHeight="1">
      <c r="A948" s="48"/>
      <c r="B948" s="41"/>
      <c r="C948" s="48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14.25" customHeight="1">
      <c r="A949" s="48"/>
      <c r="B949" s="41"/>
      <c r="C949" s="48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14.25" customHeight="1">
      <c r="A950" s="48"/>
      <c r="B950" s="41"/>
      <c r="C950" s="48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14.25" customHeight="1">
      <c r="A951" s="48"/>
      <c r="B951" s="41"/>
      <c r="C951" s="48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14.25" customHeight="1">
      <c r="A952" s="48"/>
      <c r="B952" s="41"/>
      <c r="C952" s="48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14.25" customHeight="1">
      <c r="A953" s="48"/>
      <c r="B953" s="41"/>
      <c r="C953" s="48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14.25" customHeight="1">
      <c r="A954" s="48"/>
      <c r="B954" s="41"/>
      <c r="C954" s="48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14.25" customHeight="1">
      <c r="A955" s="48"/>
      <c r="B955" s="41"/>
      <c r="C955" s="48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14.25" customHeight="1">
      <c r="A956" s="48"/>
      <c r="B956" s="41"/>
      <c r="C956" s="48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14.25" customHeight="1">
      <c r="A957" s="48"/>
      <c r="B957" s="41"/>
      <c r="C957" s="48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14.25" customHeight="1">
      <c r="A958" s="48"/>
      <c r="B958" s="41"/>
      <c r="C958" s="48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14.25" customHeight="1">
      <c r="A959" s="48"/>
      <c r="B959" s="41"/>
      <c r="C959" s="48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14.25" customHeight="1">
      <c r="A960" s="48"/>
      <c r="B960" s="41"/>
      <c r="C960" s="48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14.25" customHeight="1">
      <c r="A961" s="48"/>
      <c r="B961" s="41"/>
      <c r="C961" s="48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14.25" customHeight="1">
      <c r="A962" s="48"/>
      <c r="B962" s="41"/>
      <c r="C962" s="48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14.25" customHeight="1">
      <c r="A963" s="48"/>
      <c r="B963" s="41"/>
      <c r="C963" s="48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14.25" customHeight="1">
      <c r="A964" s="48"/>
      <c r="B964" s="41"/>
      <c r="C964" s="48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14.25" customHeight="1">
      <c r="A965" s="48"/>
      <c r="B965" s="41"/>
      <c r="C965" s="48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14.25" customHeight="1">
      <c r="A966" s="48"/>
      <c r="B966" s="41"/>
      <c r="C966" s="48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14.25" customHeight="1">
      <c r="A967" s="48"/>
      <c r="B967" s="41"/>
      <c r="C967" s="48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14.25" customHeight="1">
      <c r="A968" s="48"/>
      <c r="B968" s="41"/>
      <c r="C968" s="48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14.25" customHeight="1">
      <c r="A969" s="48"/>
      <c r="B969" s="41"/>
      <c r="C969" s="48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14.25" customHeight="1">
      <c r="A970" s="48"/>
      <c r="B970" s="41"/>
      <c r="C970" s="48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14.25" customHeight="1">
      <c r="A971" s="48"/>
      <c r="B971" s="41"/>
      <c r="C971" s="48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14.25" customHeight="1">
      <c r="A972" s="48"/>
      <c r="B972" s="41"/>
      <c r="C972" s="48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14.25" customHeight="1">
      <c r="A973" s="48"/>
      <c r="B973" s="41"/>
      <c r="C973" s="48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14.25" customHeight="1">
      <c r="A974" s="48"/>
      <c r="B974" s="41"/>
      <c r="C974" s="48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14.25" customHeight="1">
      <c r="A975" s="48"/>
      <c r="B975" s="41"/>
      <c r="C975" s="48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14.25" customHeight="1">
      <c r="A976" s="48"/>
      <c r="B976" s="41"/>
      <c r="C976" s="48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14.25" customHeight="1">
      <c r="A977" s="48"/>
      <c r="B977" s="41"/>
      <c r="C977" s="48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14.25" customHeight="1">
      <c r="A978" s="48"/>
      <c r="B978" s="41"/>
      <c r="C978" s="48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14.25" customHeight="1">
      <c r="A979" s="48"/>
      <c r="B979" s="41"/>
      <c r="C979" s="48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14.25" customHeight="1">
      <c r="A980" s="48"/>
      <c r="B980" s="41"/>
      <c r="C980" s="48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14.25" customHeight="1">
      <c r="A981" s="48"/>
      <c r="B981" s="41"/>
      <c r="C981" s="48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14.25" customHeight="1">
      <c r="A982" s="48"/>
      <c r="B982" s="41"/>
      <c r="C982" s="48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14.25" customHeight="1">
      <c r="A983" s="48"/>
      <c r="B983" s="41"/>
      <c r="C983" s="48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14.25" customHeight="1">
      <c r="A984" s="48"/>
      <c r="B984" s="41"/>
      <c r="C984" s="48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14.25" customHeight="1">
      <c r="A985" s="48"/>
      <c r="B985" s="41"/>
      <c r="C985" s="48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14.25" customHeight="1">
      <c r="A986" s="48"/>
      <c r="B986" s="41"/>
      <c r="C986" s="48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14.25" customHeight="1">
      <c r="A987" s="48"/>
      <c r="B987" s="41"/>
      <c r="C987" s="48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14.25" customHeight="1">
      <c r="A988" s="48"/>
      <c r="B988" s="41"/>
      <c r="C988" s="48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14.25" customHeight="1">
      <c r="A989" s="48"/>
      <c r="B989" s="41"/>
      <c r="C989" s="48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ht="14.25" customHeight="1">
      <c r="A990" s="48"/>
      <c r="B990" s="41"/>
      <c r="C990" s="48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ht="14.25" customHeight="1">
      <c r="A991" s="48"/>
      <c r="B991" s="41"/>
      <c r="C991" s="48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ht="14.25" customHeight="1">
      <c r="A992" s="48"/>
      <c r="B992" s="41"/>
      <c r="C992" s="48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ht="14.25" customHeight="1">
      <c r="A993" s="48"/>
      <c r="B993" s="41"/>
      <c r="C993" s="48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ht="14.25" customHeight="1">
      <c r="A994" s="48"/>
      <c r="B994" s="41"/>
      <c r="C994" s="48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ht="14.25" customHeight="1">
      <c r="A995" s="48"/>
      <c r="B995" s="41"/>
      <c r="C995" s="48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ht="14.25" customHeight="1">
      <c r="A996" s="48"/>
      <c r="B996" s="41"/>
      <c r="C996" s="48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ht="14.25" customHeight="1">
      <c r="A997" s="48"/>
      <c r="B997" s="41"/>
      <c r="C997" s="48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ht="14.25" customHeight="1">
      <c r="A998" s="48"/>
      <c r="B998" s="41"/>
      <c r="C998" s="48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ht="14.25" customHeight="1">
      <c r="A999" s="48"/>
      <c r="B999" s="41"/>
      <c r="C999" s="48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ht="14.25" customHeight="1">
      <c r="A1000" s="48"/>
      <c r="B1000" s="41"/>
      <c r="C1000" s="48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mergeCells count="3">
    <mergeCell ref="A2:C2"/>
    <mergeCell ref="A7:C7"/>
    <mergeCell ref="A10:C10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86"/>
    <col customWidth="1" min="2" max="2" width="46.71"/>
    <col customWidth="1" min="3" max="3" width="49.0"/>
    <col customWidth="1" min="4" max="26" width="8.71"/>
  </cols>
  <sheetData>
    <row r="1" ht="14.25" customHeight="1">
      <c r="A1" s="49" t="s">
        <v>1</v>
      </c>
      <c r="B1" s="49" t="s">
        <v>12</v>
      </c>
      <c r="C1" s="49" t="s">
        <v>23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4.25" customHeight="1">
      <c r="A2" s="46" t="s">
        <v>95</v>
      </c>
      <c r="B2" s="46" t="s">
        <v>96</v>
      </c>
      <c r="C2" s="46" t="s">
        <v>97</v>
      </c>
    </row>
    <row r="3" ht="14.25" customHeight="1">
      <c r="A3" s="46" t="s">
        <v>98</v>
      </c>
      <c r="B3" s="46" t="s">
        <v>99</v>
      </c>
      <c r="C3" s="46"/>
    </row>
    <row r="4" ht="14.25" customHeight="1">
      <c r="A4" s="46" t="s">
        <v>100</v>
      </c>
      <c r="B4" s="46" t="s">
        <v>101</v>
      </c>
      <c r="C4" s="46"/>
    </row>
    <row r="5" ht="14.25" customHeight="1">
      <c r="A5" s="46" t="s">
        <v>102</v>
      </c>
      <c r="B5" s="46" t="s">
        <v>103</v>
      </c>
      <c r="C5" s="46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57"/>
    <col customWidth="1" min="2" max="2" width="49.86"/>
    <col customWidth="1" min="3" max="3" width="49.71"/>
    <col customWidth="1" min="4" max="26" width="8.71"/>
  </cols>
  <sheetData>
    <row r="1" ht="14.25" customHeight="1">
      <c r="A1" s="49" t="s">
        <v>1</v>
      </c>
      <c r="B1" s="49" t="s">
        <v>12</v>
      </c>
      <c r="C1" s="49" t="s">
        <v>23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4.25" customHeight="1">
      <c r="A2" s="46" t="s">
        <v>104</v>
      </c>
      <c r="B2" s="46" t="s">
        <v>105</v>
      </c>
      <c r="C2" s="46" t="s">
        <v>106</v>
      </c>
    </row>
    <row r="3" ht="14.25" customHeight="1">
      <c r="A3" s="46" t="s">
        <v>107</v>
      </c>
      <c r="B3" s="46" t="s">
        <v>108</v>
      </c>
      <c r="C3" s="46" t="s">
        <v>109</v>
      </c>
    </row>
    <row r="4" ht="14.25" customHeight="1">
      <c r="A4" s="46"/>
      <c r="B4" s="46" t="s">
        <v>110</v>
      </c>
      <c r="C4" s="46"/>
    </row>
    <row r="5" ht="14.25" customHeight="1">
      <c r="A5" s="46"/>
      <c r="B5" s="46" t="s">
        <v>111</v>
      </c>
      <c r="C5" s="46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57"/>
    <col customWidth="1" min="2" max="2" width="57.71"/>
    <col customWidth="1" min="3" max="3" width="59.29"/>
    <col customWidth="1" min="4" max="26" width="8.71"/>
  </cols>
  <sheetData>
    <row r="1" ht="14.25" customHeight="1">
      <c r="A1" s="49" t="s">
        <v>1</v>
      </c>
      <c r="B1" s="49" t="s">
        <v>12</v>
      </c>
      <c r="C1" s="49" t="s">
        <v>23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4.25" customHeight="1">
      <c r="A2" s="46" t="s">
        <v>112</v>
      </c>
      <c r="B2" s="46" t="s">
        <v>113</v>
      </c>
      <c r="C2" s="46" t="s">
        <v>114</v>
      </c>
    </row>
    <row r="3" ht="14.25" customHeight="1">
      <c r="A3" s="46" t="s">
        <v>115</v>
      </c>
      <c r="B3" s="46" t="s">
        <v>116</v>
      </c>
      <c r="C3" s="46" t="s">
        <v>117</v>
      </c>
    </row>
    <row r="4" ht="14.25" customHeight="1">
      <c r="A4" s="46" t="s">
        <v>118</v>
      </c>
      <c r="B4" s="46" t="s">
        <v>119</v>
      </c>
      <c r="C4" s="46"/>
    </row>
    <row r="5" ht="14.25" customHeight="1">
      <c r="A5" s="46" t="s">
        <v>120</v>
      </c>
      <c r="B5" s="46" t="s">
        <v>121</v>
      </c>
      <c r="C5" s="46"/>
    </row>
    <row r="6" ht="14.25" customHeight="1">
      <c r="A6" s="48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29"/>
    <col customWidth="1" min="2" max="2" width="46.71"/>
    <col customWidth="1" min="3" max="3" width="50.86"/>
    <col customWidth="1" min="4" max="26" width="8.71"/>
  </cols>
  <sheetData>
    <row r="1" ht="14.25" customHeight="1">
      <c r="A1" s="49" t="s">
        <v>1</v>
      </c>
      <c r="B1" s="49" t="s">
        <v>12</v>
      </c>
      <c r="C1" s="49" t="s">
        <v>23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4.25" customHeight="1">
      <c r="A2" s="50" t="s">
        <v>122</v>
      </c>
      <c r="B2" s="42" t="s">
        <v>123</v>
      </c>
      <c r="C2" s="46" t="s">
        <v>124</v>
      </c>
    </row>
    <row r="3" ht="14.25" customHeight="1">
      <c r="A3" s="42" t="s">
        <v>125</v>
      </c>
      <c r="B3" s="51"/>
      <c r="C3" s="46" t="s">
        <v>126</v>
      </c>
    </row>
    <row r="4" ht="14.25" customHeight="1"/>
    <row r="5" ht="14.25" customHeight="1"/>
    <row r="6" ht="14.25" customHeight="1">
      <c r="A6" s="52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57"/>
    <col customWidth="1" min="2" max="2" width="51.57"/>
    <col customWidth="1" min="3" max="3" width="55.43"/>
    <col customWidth="1" min="4" max="26" width="9.14"/>
  </cols>
  <sheetData>
    <row r="1" ht="14.25" customHeight="1">
      <c r="A1" s="53" t="s">
        <v>1</v>
      </c>
      <c r="B1" s="53" t="s">
        <v>12</v>
      </c>
      <c r="C1" s="53" t="s">
        <v>23</v>
      </c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14.25" customHeight="1">
      <c r="A2" s="14" t="s">
        <v>127</v>
      </c>
      <c r="B2" s="15"/>
      <c r="C2" s="16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14.25" customHeight="1">
      <c r="A3" s="44" t="s">
        <v>128</v>
      </c>
      <c r="B3" s="44" t="s">
        <v>129</v>
      </c>
      <c r="C3" s="44" t="s">
        <v>130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14.25" customHeight="1">
      <c r="A4" s="44" t="s">
        <v>131</v>
      </c>
      <c r="B4" s="44" t="s">
        <v>132</v>
      </c>
      <c r="C4" s="44" t="s">
        <v>133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14.25" customHeight="1">
      <c r="A5" s="14" t="s">
        <v>134</v>
      </c>
      <c r="B5" s="15"/>
      <c r="C5" s="1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4.25" customHeight="1">
      <c r="A6" s="44" t="s">
        <v>135</v>
      </c>
      <c r="B6" s="44" t="s">
        <v>136</v>
      </c>
      <c r="C6" s="44" t="s">
        <v>137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14.25" customHeight="1">
      <c r="A7" s="55" t="s">
        <v>138</v>
      </c>
      <c r="B7" s="44" t="s">
        <v>139</v>
      </c>
      <c r="C7" s="4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14.25" customHeight="1">
      <c r="A8" s="14" t="s">
        <v>140</v>
      </c>
      <c r="B8" s="15"/>
      <c r="C8" s="16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4.25" customHeight="1">
      <c r="A9" s="55" t="s">
        <v>141</v>
      </c>
      <c r="B9" s="44" t="s">
        <v>142</v>
      </c>
      <c r="C9" s="44" t="s">
        <v>143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14.25" customHeight="1">
      <c r="A10" s="44" t="s">
        <v>144</v>
      </c>
      <c r="B10" s="44" t="s">
        <v>145</v>
      </c>
      <c r="C10" s="44" t="s">
        <v>146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4.25" customHeight="1">
      <c r="A11" s="56"/>
      <c r="B11" s="56"/>
      <c r="C11" s="56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14.25" customHeight="1">
      <c r="A12" s="56"/>
      <c r="B12" s="56"/>
      <c r="C12" s="56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14.25" customHeight="1">
      <c r="A13" s="56"/>
      <c r="B13" s="56"/>
      <c r="C13" s="56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14.25" customHeight="1">
      <c r="A14" s="56"/>
      <c r="B14" s="56"/>
      <c r="C14" s="56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14.25" customHeight="1">
      <c r="A15" s="56"/>
      <c r="B15" s="56"/>
      <c r="C15" s="56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4.25" customHeight="1">
      <c r="A16" s="56"/>
      <c r="B16" s="56"/>
      <c r="C16" s="56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4.25" customHeight="1">
      <c r="A17" s="56"/>
      <c r="B17" s="56"/>
      <c r="C17" s="56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4.25" customHeight="1">
      <c r="A18" s="56"/>
      <c r="B18" s="56"/>
      <c r="C18" s="56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4.25" customHeight="1">
      <c r="A19" s="56"/>
      <c r="B19" s="56"/>
      <c r="C19" s="56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4.25" customHeight="1">
      <c r="A20" s="56"/>
      <c r="B20" s="56"/>
      <c r="C20" s="56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4.25" customHeight="1">
      <c r="A21" s="56"/>
      <c r="B21" s="56"/>
      <c r="C21" s="56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4.25" customHeight="1">
      <c r="A22" s="56"/>
      <c r="B22" s="56"/>
      <c r="C22" s="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4.25" customHeight="1">
      <c r="A23" s="56"/>
      <c r="B23" s="56"/>
      <c r="C23" s="56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4.25" customHeight="1">
      <c r="A24" s="56"/>
      <c r="B24" s="56"/>
      <c r="C24" s="56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4.25" customHeight="1">
      <c r="A25" s="56"/>
      <c r="B25" s="56"/>
      <c r="C25" s="56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4.25" customHeight="1">
      <c r="A26" s="56"/>
      <c r="B26" s="56"/>
      <c r="C26" s="56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4.25" customHeight="1">
      <c r="A27" s="56"/>
      <c r="B27" s="56"/>
      <c r="C27" s="56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4.25" customHeight="1">
      <c r="A28" s="56"/>
      <c r="B28" s="56"/>
      <c r="C28" s="56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4.25" customHeight="1">
      <c r="A29" s="56"/>
      <c r="B29" s="56"/>
      <c r="C29" s="56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4.25" customHeight="1">
      <c r="A30" s="56"/>
      <c r="B30" s="56"/>
      <c r="C30" s="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4.25" customHeight="1">
      <c r="A31" s="56"/>
      <c r="B31" s="56"/>
      <c r="C31" s="56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4.25" customHeight="1">
      <c r="A32" s="56"/>
      <c r="B32" s="56"/>
      <c r="C32" s="56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4.25" customHeight="1">
      <c r="A33" s="56"/>
      <c r="B33" s="56"/>
      <c r="C33" s="56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4.25" customHeight="1">
      <c r="A34" s="56"/>
      <c r="B34" s="56"/>
      <c r="C34" s="56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4.25" customHeight="1">
      <c r="A35" s="56"/>
      <c r="B35" s="56"/>
      <c r="C35" s="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4.25" customHeight="1">
      <c r="A36" s="56"/>
      <c r="B36" s="56"/>
      <c r="C36" s="56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4.25" customHeight="1">
      <c r="A37" s="56"/>
      <c r="B37" s="56"/>
      <c r="C37" s="56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4.25" customHeight="1">
      <c r="A38" s="56"/>
      <c r="B38" s="56"/>
      <c r="C38" s="56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4.25" customHeight="1">
      <c r="A39" s="56"/>
      <c r="B39" s="56"/>
      <c r="C39" s="56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4.25" customHeight="1">
      <c r="A40" s="56"/>
      <c r="B40" s="56"/>
      <c r="C40" s="56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4.25" customHeight="1">
      <c r="A41" s="56"/>
      <c r="B41" s="56"/>
      <c r="C41" s="56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4.25" customHeight="1">
      <c r="A42" s="56"/>
      <c r="B42" s="56"/>
      <c r="C42" s="56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4.25" customHeight="1">
      <c r="A43" s="56"/>
      <c r="B43" s="56"/>
      <c r="C43" s="56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4.25" customHeight="1">
      <c r="A44" s="56"/>
      <c r="B44" s="56"/>
      <c r="C44" s="56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4.25" customHeight="1">
      <c r="A45" s="56"/>
      <c r="B45" s="56"/>
      <c r="C45" s="56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4.25" customHeight="1">
      <c r="A46" s="56"/>
      <c r="B46" s="56"/>
      <c r="C46" s="56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4.25" customHeight="1">
      <c r="A47" s="56"/>
      <c r="B47" s="56"/>
      <c r="C47" s="56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4.25" customHeight="1">
      <c r="A48" s="56"/>
      <c r="B48" s="56"/>
      <c r="C48" s="56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4.25" customHeight="1">
      <c r="A49" s="56"/>
      <c r="B49" s="56"/>
      <c r="C49" s="56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4.25" customHeight="1">
      <c r="A50" s="56"/>
      <c r="B50" s="56"/>
      <c r="C50" s="56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4.25" customHeight="1">
      <c r="A51" s="56"/>
      <c r="B51" s="56"/>
      <c r="C51" s="56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4.25" customHeight="1">
      <c r="A52" s="56"/>
      <c r="B52" s="56"/>
      <c r="C52" s="56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4.25" customHeight="1">
      <c r="A53" s="56"/>
      <c r="B53" s="56"/>
      <c r="C53" s="56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4.25" customHeight="1">
      <c r="A54" s="56"/>
      <c r="B54" s="56"/>
      <c r="C54" s="56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4.25" customHeight="1">
      <c r="A55" s="56"/>
      <c r="B55" s="56"/>
      <c r="C55" s="56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4.25" customHeight="1">
      <c r="A56" s="56"/>
      <c r="B56" s="56"/>
      <c r="C56" s="56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4.25" customHeight="1">
      <c r="A57" s="56"/>
      <c r="B57" s="56"/>
      <c r="C57" s="56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4.25" customHeight="1">
      <c r="A58" s="56"/>
      <c r="B58" s="56"/>
      <c r="C58" s="56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4.25" customHeight="1">
      <c r="A59" s="56"/>
      <c r="B59" s="56"/>
      <c r="C59" s="56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4.25" customHeight="1">
      <c r="A60" s="56"/>
      <c r="B60" s="56"/>
      <c r="C60" s="56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4.25" customHeight="1">
      <c r="A61" s="56"/>
      <c r="B61" s="56"/>
      <c r="C61" s="56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4.25" customHeight="1">
      <c r="A62" s="56"/>
      <c r="B62" s="56"/>
      <c r="C62" s="56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4.25" customHeight="1">
      <c r="A63" s="56"/>
      <c r="B63" s="56"/>
      <c r="C63" s="56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4.25" customHeight="1">
      <c r="A64" s="56"/>
      <c r="B64" s="56"/>
      <c r="C64" s="56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4.25" customHeight="1">
      <c r="A65" s="56"/>
      <c r="B65" s="56"/>
      <c r="C65" s="56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4.25" customHeight="1">
      <c r="A66" s="56"/>
      <c r="B66" s="56"/>
      <c r="C66" s="56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4.25" customHeight="1">
      <c r="A67" s="56"/>
      <c r="B67" s="56"/>
      <c r="C67" s="56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4.25" customHeight="1">
      <c r="A68" s="56"/>
      <c r="B68" s="56"/>
      <c r="C68" s="56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4.25" customHeight="1">
      <c r="A69" s="56"/>
      <c r="B69" s="56"/>
      <c r="C69" s="56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4.25" customHeight="1">
      <c r="A70" s="56"/>
      <c r="B70" s="56"/>
      <c r="C70" s="56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4.25" customHeight="1">
      <c r="A71" s="56"/>
      <c r="B71" s="56"/>
      <c r="C71" s="56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4.25" customHeight="1">
      <c r="A72" s="56"/>
      <c r="B72" s="56"/>
      <c r="C72" s="56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4.25" customHeight="1">
      <c r="A73" s="56"/>
      <c r="B73" s="56"/>
      <c r="C73" s="56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4.25" customHeight="1">
      <c r="A74" s="56"/>
      <c r="B74" s="56"/>
      <c r="C74" s="56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4.25" customHeight="1">
      <c r="A75" s="56"/>
      <c r="B75" s="56"/>
      <c r="C75" s="56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4.25" customHeight="1">
      <c r="A76" s="56"/>
      <c r="B76" s="56"/>
      <c r="C76" s="56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4.25" customHeight="1">
      <c r="A77" s="56"/>
      <c r="B77" s="56"/>
      <c r="C77" s="56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4.25" customHeight="1">
      <c r="A78" s="56"/>
      <c r="B78" s="56"/>
      <c r="C78" s="56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4.25" customHeight="1">
      <c r="A79" s="56"/>
      <c r="B79" s="56"/>
      <c r="C79" s="56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4.25" customHeight="1">
      <c r="A80" s="56"/>
      <c r="B80" s="56"/>
      <c r="C80" s="56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4.25" customHeight="1">
      <c r="A81" s="56"/>
      <c r="B81" s="56"/>
      <c r="C81" s="56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4.25" customHeight="1">
      <c r="A82" s="56"/>
      <c r="B82" s="56"/>
      <c r="C82" s="56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4.25" customHeight="1">
      <c r="A83" s="56"/>
      <c r="B83" s="56"/>
      <c r="C83" s="56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4.25" customHeight="1">
      <c r="A84" s="56"/>
      <c r="B84" s="56"/>
      <c r="C84" s="56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4.25" customHeight="1">
      <c r="A85" s="56"/>
      <c r="B85" s="56"/>
      <c r="C85" s="56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4.25" customHeight="1">
      <c r="A86" s="56"/>
      <c r="B86" s="56"/>
      <c r="C86" s="56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4.25" customHeight="1">
      <c r="A87" s="56"/>
      <c r="B87" s="56"/>
      <c r="C87" s="56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4.25" customHeight="1">
      <c r="A88" s="56"/>
      <c r="B88" s="56"/>
      <c r="C88" s="56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4.25" customHeight="1">
      <c r="A89" s="56"/>
      <c r="B89" s="56"/>
      <c r="C89" s="56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4.25" customHeight="1">
      <c r="A90" s="56"/>
      <c r="B90" s="56"/>
      <c r="C90" s="56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4.25" customHeight="1">
      <c r="A91" s="56"/>
      <c r="B91" s="56"/>
      <c r="C91" s="56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4.25" customHeight="1">
      <c r="A92" s="56"/>
      <c r="B92" s="56"/>
      <c r="C92" s="56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4.25" customHeight="1">
      <c r="A93" s="56"/>
      <c r="B93" s="56"/>
      <c r="C93" s="56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4.25" customHeight="1">
      <c r="A94" s="56"/>
      <c r="B94" s="56"/>
      <c r="C94" s="56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4.25" customHeight="1">
      <c r="A95" s="56"/>
      <c r="B95" s="56"/>
      <c r="C95" s="56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4.25" customHeight="1">
      <c r="A96" s="56"/>
      <c r="B96" s="56"/>
      <c r="C96" s="56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4.25" customHeight="1">
      <c r="A97" s="56"/>
      <c r="B97" s="56"/>
      <c r="C97" s="56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4.25" customHeight="1">
      <c r="A98" s="56"/>
      <c r="B98" s="56"/>
      <c r="C98" s="56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4.25" customHeight="1">
      <c r="A99" s="56"/>
      <c r="B99" s="56"/>
      <c r="C99" s="56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4.25" customHeight="1">
      <c r="A100" s="56"/>
      <c r="B100" s="56"/>
      <c r="C100" s="56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4.25" customHeight="1">
      <c r="A101" s="56"/>
      <c r="B101" s="56"/>
      <c r="C101" s="56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4.25" customHeight="1">
      <c r="A102" s="56"/>
      <c r="B102" s="56"/>
      <c r="C102" s="56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4.25" customHeight="1">
      <c r="A103" s="56"/>
      <c r="B103" s="56"/>
      <c r="C103" s="56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4.25" customHeight="1">
      <c r="A104" s="56"/>
      <c r="B104" s="56"/>
      <c r="C104" s="56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4.25" customHeight="1">
      <c r="A105" s="56"/>
      <c r="B105" s="56"/>
      <c r="C105" s="56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4.25" customHeight="1">
      <c r="A106" s="56"/>
      <c r="B106" s="56"/>
      <c r="C106" s="56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4.25" customHeight="1">
      <c r="A107" s="56"/>
      <c r="B107" s="56"/>
      <c r="C107" s="56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4.25" customHeight="1">
      <c r="A108" s="56"/>
      <c r="B108" s="56"/>
      <c r="C108" s="56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4.25" customHeight="1">
      <c r="A109" s="56"/>
      <c r="B109" s="56"/>
      <c r="C109" s="56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4.25" customHeight="1">
      <c r="A110" s="56"/>
      <c r="B110" s="56"/>
      <c r="C110" s="56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4.25" customHeight="1">
      <c r="A111" s="56"/>
      <c r="B111" s="56"/>
      <c r="C111" s="56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4.25" customHeight="1">
      <c r="A112" s="56"/>
      <c r="B112" s="56"/>
      <c r="C112" s="56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4.25" customHeight="1">
      <c r="A113" s="56"/>
      <c r="B113" s="56"/>
      <c r="C113" s="56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4.25" customHeight="1">
      <c r="A114" s="56"/>
      <c r="B114" s="56"/>
      <c r="C114" s="56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4.25" customHeight="1">
      <c r="A115" s="56"/>
      <c r="B115" s="56"/>
      <c r="C115" s="56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4.25" customHeight="1">
      <c r="A116" s="56"/>
      <c r="B116" s="56"/>
      <c r="C116" s="56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4.25" customHeight="1">
      <c r="A117" s="56"/>
      <c r="B117" s="56"/>
      <c r="C117" s="56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4.25" customHeight="1">
      <c r="A118" s="56"/>
      <c r="B118" s="56"/>
      <c r="C118" s="56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4.25" customHeight="1">
      <c r="A119" s="56"/>
      <c r="B119" s="56"/>
      <c r="C119" s="56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4.25" customHeight="1">
      <c r="A120" s="56"/>
      <c r="B120" s="56"/>
      <c r="C120" s="56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4.25" customHeight="1">
      <c r="A121" s="56"/>
      <c r="B121" s="56"/>
      <c r="C121" s="56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4.25" customHeight="1">
      <c r="A122" s="56"/>
      <c r="B122" s="56"/>
      <c r="C122" s="56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4.25" customHeight="1">
      <c r="A123" s="56"/>
      <c r="B123" s="56"/>
      <c r="C123" s="56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4.25" customHeight="1">
      <c r="A124" s="56"/>
      <c r="B124" s="56"/>
      <c r="C124" s="56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4.25" customHeight="1">
      <c r="A125" s="56"/>
      <c r="B125" s="56"/>
      <c r="C125" s="56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4.25" customHeight="1">
      <c r="A126" s="56"/>
      <c r="B126" s="56"/>
      <c r="C126" s="56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4.25" customHeight="1">
      <c r="A127" s="56"/>
      <c r="B127" s="56"/>
      <c r="C127" s="56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4.25" customHeight="1">
      <c r="A128" s="56"/>
      <c r="B128" s="56"/>
      <c r="C128" s="56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4.25" customHeight="1">
      <c r="A129" s="56"/>
      <c r="B129" s="56"/>
      <c r="C129" s="56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4.25" customHeight="1">
      <c r="A130" s="56"/>
      <c r="B130" s="56"/>
      <c r="C130" s="56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4.25" customHeight="1">
      <c r="A131" s="56"/>
      <c r="B131" s="56"/>
      <c r="C131" s="56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4.25" customHeight="1">
      <c r="A132" s="56"/>
      <c r="B132" s="56"/>
      <c r="C132" s="56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4.25" customHeight="1">
      <c r="A133" s="56"/>
      <c r="B133" s="56"/>
      <c r="C133" s="56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4.25" customHeight="1">
      <c r="A134" s="56"/>
      <c r="B134" s="56"/>
      <c r="C134" s="56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4.25" customHeight="1">
      <c r="A135" s="56"/>
      <c r="B135" s="56"/>
      <c r="C135" s="56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4.25" customHeight="1">
      <c r="A136" s="56"/>
      <c r="B136" s="56"/>
      <c r="C136" s="56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4.25" customHeight="1">
      <c r="A137" s="56"/>
      <c r="B137" s="56"/>
      <c r="C137" s="56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4.25" customHeight="1">
      <c r="A138" s="56"/>
      <c r="B138" s="56"/>
      <c r="C138" s="56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4.25" customHeight="1">
      <c r="A139" s="56"/>
      <c r="B139" s="56"/>
      <c r="C139" s="56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4.25" customHeight="1">
      <c r="A140" s="56"/>
      <c r="B140" s="56"/>
      <c r="C140" s="56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4.25" customHeight="1">
      <c r="A141" s="56"/>
      <c r="B141" s="56"/>
      <c r="C141" s="56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4.25" customHeight="1">
      <c r="A142" s="56"/>
      <c r="B142" s="56"/>
      <c r="C142" s="56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4.25" customHeight="1">
      <c r="A143" s="56"/>
      <c r="B143" s="56"/>
      <c r="C143" s="56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4.25" customHeight="1">
      <c r="A144" s="56"/>
      <c r="B144" s="56"/>
      <c r="C144" s="56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4.25" customHeight="1">
      <c r="A145" s="56"/>
      <c r="B145" s="56"/>
      <c r="C145" s="56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4.25" customHeight="1">
      <c r="A146" s="56"/>
      <c r="B146" s="56"/>
      <c r="C146" s="56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4.25" customHeight="1">
      <c r="A147" s="56"/>
      <c r="B147" s="56"/>
      <c r="C147" s="56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4.25" customHeight="1">
      <c r="A148" s="56"/>
      <c r="B148" s="56"/>
      <c r="C148" s="56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4.25" customHeight="1">
      <c r="A149" s="56"/>
      <c r="B149" s="56"/>
      <c r="C149" s="56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4.25" customHeight="1">
      <c r="A150" s="56"/>
      <c r="B150" s="56"/>
      <c r="C150" s="56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4.25" customHeight="1">
      <c r="A151" s="56"/>
      <c r="B151" s="56"/>
      <c r="C151" s="56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4.25" customHeight="1">
      <c r="A152" s="56"/>
      <c r="B152" s="56"/>
      <c r="C152" s="56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4.25" customHeight="1">
      <c r="A153" s="56"/>
      <c r="B153" s="56"/>
      <c r="C153" s="56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4.25" customHeight="1">
      <c r="A154" s="56"/>
      <c r="B154" s="56"/>
      <c r="C154" s="56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4.25" customHeight="1">
      <c r="A155" s="56"/>
      <c r="B155" s="56"/>
      <c r="C155" s="56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4.25" customHeight="1">
      <c r="A156" s="56"/>
      <c r="B156" s="56"/>
      <c r="C156" s="56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4.25" customHeight="1">
      <c r="A157" s="56"/>
      <c r="B157" s="56"/>
      <c r="C157" s="56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4.25" customHeight="1">
      <c r="A158" s="56"/>
      <c r="B158" s="56"/>
      <c r="C158" s="56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4.25" customHeight="1">
      <c r="A159" s="56"/>
      <c r="B159" s="56"/>
      <c r="C159" s="56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4.25" customHeight="1">
      <c r="A160" s="56"/>
      <c r="B160" s="56"/>
      <c r="C160" s="56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4.25" customHeight="1">
      <c r="A161" s="56"/>
      <c r="B161" s="56"/>
      <c r="C161" s="56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4.25" customHeight="1">
      <c r="A162" s="56"/>
      <c r="B162" s="56"/>
      <c r="C162" s="56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4.25" customHeight="1">
      <c r="A163" s="56"/>
      <c r="B163" s="56"/>
      <c r="C163" s="56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4.25" customHeight="1">
      <c r="A164" s="56"/>
      <c r="B164" s="56"/>
      <c r="C164" s="56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4.25" customHeight="1">
      <c r="A165" s="56"/>
      <c r="B165" s="56"/>
      <c r="C165" s="56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4.25" customHeight="1">
      <c r="A166" s="56"/>
      <c r="B166" s="56"/>
      <c r="C166" s="56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4.25" customHeight="1">
      <c r="A167" s="56"/>
      <c r="B167" s="56"/>
      <c r="C167" s="56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4.25" customHeight="1">
      <c r="A168" s="56"/>
      <c r="B168" s="56"/>
      <c r="C168" s="56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4.25" customHeight="1">
      <c r="A169" s="56"/>
      <c r="B169" s="56"/>
      <c r="C169" s="56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4.25" customHeight="1">
      <c r="A170" s="56"/>
      <c r="B170" s="56"/>
      <c r="C170" s="56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4.25" customHeight="1">
      <c r="A171" s="56"/>
      <c r="B171" s="56"/>
      <c r="C171" s="56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4.25" customHeight="1">
      <c r="A172" s="56"/>
      <c r="B172" s="56"/>
      <c r="C172" s="56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4.25" customHeight="1">
      <c r="A173" s="56"/>
      <c r="B173" s="56"/>
      <c r="C173" s="56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4.25" customHeight="1">
      <c r="A174" s="56"/>
      <c r="B174" s="56"/>
      <c r="C174" s="56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4.25" customHeight="1">
      <c r="A175" s="56"/>
      <c r="B175" s="56"/>
      <c r="C175" s="56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4.25" customHeight="1">
      <c r="A176" s="56"/>
      <c r="B176" s="56"/>
      <c r="C176" s="56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4.25" customHeight="1">
      <c r="A177" s="56"/>
      <c r="B177" s="56"/>
      <c r="C177" s="56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4.25" customHeight="1">
      <c r="A178" s="56"/>
      <c r="B178" s="56"/>
      <c r="C178" s="56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4.25" customHeight="1">
      <c r="A179" s="56"/>
      <c r="B179" s="56"/>
      <c r="C179" s="56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4.25" customHeight="1">
      <c r="A180" s="56"/>
      <c r="B180" s="56"/>
      <c r="C180" s="56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4.25" customHeight="1">
      <c r="A181" s="56"/>
      <c r="B181" s="56"/>
      <c r="C181" s="56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4.25" customHeight="1">
      <c r="A182" s="56"/>
      <c r="B182" s="56"/>
      <c r="C182" s="56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4.25" customHeight="1">
      <c r="A183" s="56"/>
      <c r="B183" s="56"/>
      <c r="C183" s="56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4.25" customHeight="1">
      <c r="A184" s="56"/>
      <c r="B184" s="56"/>
      <c r="C184" s="56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4.25" customHeight="1">
      <c r="A185" s="56"/>
      <c r="B185" s="56"/>
      <c r="C185" s="56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4.25" customHeight="1">
      <c r="A186" s="56"/>
      <c r="B186" s="56"/>
      <c r="C186" s="56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4.25" customHeight="1">
      <c r="A187" s="56"/>
      <c r="B187" s="56"/>
      <c r="C187" s="56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4.25" customHeight="1">
      <c r="A188" s="56"/>
      <c r="B188" s="56"/>
      <c r="C188" s="56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4.25" customHeight="1">
      <c r="A189" s="56"/>
      <c r="B189" s="56"/>
      <c r="C189" s="56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4.25" customHeight="1">
      <c r="A190" s="56"/>
      <c r="B190" s="56"/>
      <c r="C190" s="56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4.25" customHeight="1">
      <c r="A191" s="56"/>
      <c r="B191" s="56"/>
      <c r="C191" s="56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4.25" customHeight="1">
      <c r="A192" s="56"/>
      <c r="B192" s="56"/>
      <c r="C192" s="56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4.25" customHeight="1">
      <c r="A193" s="56"/>
      <c r="B193" s="56"/>
      <c r="C193" s="56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4.25" customHeight="1">
      <c r="A194" s="56"/>
      <c r="B194" s="56"/>
      <c r="C194" s="56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4.25" customHeight="1">
      <c r="A195" s="56"/>
      <c r="B195" s="56"/>
      <c r="C195" s="56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4.25" customHeight="1">
      <c r="A196" s="56"/>
      <c r="B196" s="56"/>
      <c r="C196" s="56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4.25" customHeight="1">
      <c r="A197" s="56"/>
      <c r="B197" s="56"/>
      <c r="C197" s="56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4.25" customHeight="1">
      <c r="A198" s="56"/>
      <c r="B198" s="56"/>
      <c r="C198" s="56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4.25" customHeight="1">
      <c r="A199" s="56"/>
      <c r="B199" s="56"/>
      <c r="C199" s="56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4.25" customHeight="1">
      <c r="A200" s="56"/>
      <c r="B200" s="56"/>
      <c r="C200" s="56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4.25" customHeight="1">
      <c r="A201" s="56"/>
      <c r="B201" s="56"/>
      <c r="C201" s="56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4.25" customHeight="1">
      <c r="A202" s="56"/>
      <c r="B202" s="56"/>
      <c r="C202" s="56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4.25" customHeight="1">
      <c r="A203" s="56"/>
      <c r="B203" s="56"/>
      <c r="C203" s="56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4.25" customHeight="1">
      <c r="A204" s="56"/>
      <c r="B204" s="56"/>
      <c r="C204" s="56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4.25" customHeight="1">
      <c r="A205" s="56"/>
      <c r="B205" s="56"/>
      <c r="C205" s="56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4.25" customHeight="1">
      <c r="A206" s="56"/>
      <c r="B206" s="56"/>
      <c r="C206" s="56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4.25" customHeight="1">
      <c r="A207" s="56"/>
      <c r="B207" s="56"/>
      <c r="C207" s="56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4.25" customHeight="1">
      <c r="A208" s="56"/>
      <c r="B208" s="56"/>
      <c r="C208" s="56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4.25" customHeight="1">
      <c r="A209" s="56"/>
      <c r="B209" s="56"/>
      <c r="C209" s="56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4.25" customHeight="1">
      <c r="A210" s="56"/>
      <c r="B210" s="56"/>
      <c r="C210" s="56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4.25" customHeight="1">
      <c r="A211" s="56"/>
      <c r="B211" s="56"/>
      <c r="C211" s="56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4.25" customHeight="1">
      <c r="A212" s="56"/>
      <c r="B212" s="56"/>
      <c r="C212" s="56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4.25" customHeight="1">
      <c r="A213" s="56"/>
      <c r="B213" s="56"/>
      <c r="C213" s="56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4.25" customHeight="1">
      <c r="A214" s="56"/>
      <c r="B214" s="56"/>
      <c r="C214" s="56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4.25" customHeight="1">
      <c r="A215" s="56"/>
      <c r="B215" s="56"/>
      <c r="C215" s="56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4.25" customHeight="1">
      <c r="A216" s="56"/>
      <c r="B216" s="56"/>
      <c r="C216" s="56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4.25" customHeight="1">
      <c r="A217" s="56"/>
      <c r="B217" s="56"/>
      <c r="C217" s="56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4.25" customHeight="1">
      <c r="A218" s="56"/>
      <c r="B218" s="56"/>
      <c r="C218" s="56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4.25" customHeight="1">
      <c r="A219" s="56"/>
      <c r="B219" s="56"/>
      <c r="C219" s="56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14.25" customHeight="1">
      <c r="A220" s="56"/>
      <c r="B220" s="56"/>
      <c r="C220" s="56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14.25" customHeight="1">
      <c r="A221" s="56"/>
      <c r="B221" s="56"/>
      <c r="C221" s="56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14.25" customHeight="1">
      <c r="A222" s="56"/>
      <c r="B222" s="56"/>
      <c r="C222" s="56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14.25" customHeight="1">
      <c r="A223" s="56"/>
      <c r="B223" s="56"/>
      <c r="C223" s="56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14.25" customHeight="1">
      <c r="A224" s="56"/>
      <c r="B224" s="56"/>
      <c r="C224" s="56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14.25" customHeight="1">
      <c r="A225" s="56"/>
      <c r="B225" s="56"/>
      <c r="C225" s="56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14.25" customHeight="1">
      <c r="A226" s="56"/>
      <c r="B226" s="56"/>
      <c r="C226" s="56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14.25" customHeight="1">
      <c r="A227" s="56"/>
      <c r="B227" s="56"/>
      <c r="C227" s="56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14.25" customHeight="1">
      <c r="A228" s="56"/>
      <c r="B228" s="56"/>
      <c r="C228" s="56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14.25" customHeight="1">
      <c r="A229" s="56"/>
      <c r="B229" s="56"/>
      <c r="C229" s="56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14.25" customHeight="1">
      <c r="A230" s="56"/>
      <c r="B230" s="56"/>
      <c r="C230" s="56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14.25" customHeight="1">
      <c r="A231" s="56"/>
      <c r="B231" s="56"/>
      <c r="C231" s="56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14.25" customHeight="1">
      <c r="A232" s="56"/>
      <c r="B232" s="56"/>
      <c r="C232" s="56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14.25" customHeight="1">
      <c r="A233" s="56"/>
      <c r="B233" s="56"/>
      <c r="C233" s="56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14.25" customHeight="1">
      <c r="A234" s="56"/>
      <c r="B234" s="56"/>
      <c r="C234" s="56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14.25" customHeight="1">
      <c r="A235" s="56"/>
      <c r="B235" s="56"/>
      <c r="C235" s="56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14.25" customHeight="1">
      <c r="A236" s="56"/>
      <c r="B236" s="56"/>
      <c r="C236" s="56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14.25" customHeight="1">
      <c r="A237" s="56"/>
      <c r="B237" s="56"/>
      <c r="C237" s="56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14.25" customHeight="1">
      <c r="A238" s="56"/>
      <c r="B238" s="56"/>
      <c r="C238" s="56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14.25" customHeight="1">
      <c r="A239" s="56"/>
      <c r="B239" s="56"/>
      <c r="C239" s="56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14.25" customHeight="1">
      <c r="A240" s="56"/>
      <c r="B240" s="56"/>
      <c r="C240" s="56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14.25" customHeight="1">
      <c r="A241" s="56"/>
      <c r="B241" s="56"/>
      <c r="C241" s="56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14.25" customHeight="1">
      <c r="A242" s="56"/>
      <c r="B242" s="56"/>
      <c r="C242" s="56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14.25" customHeight="1">
      <c r="A243" s="56"/>
      <c r="B243" s="56"/>
      <c r="C243" s="56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14.25" customHeight="1">
      <c r="A244" s="56"/>
      <c r="B244" s="56"/>
      <c r="C244" s="56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14.25" customHeight="1">
      <c r="A245" s="56"/>
      <c r="B245" s="56"/>
      <c r="C245" s="56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14.25" customHeight="1">
      <c r="A246" s="56"/>
      <c r="B246" s="56"/>
      <c r="C246" s="56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14.25" customHeight="1">
      <c r="A247" s="56"/>
      <c r="B247" s="56"/>
      <c r="C247" s="56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14.25" customHeight="1">
      <c r="A248" s="56"/>
      <c r="B248" s="56"/>
      <c r="C248" s="56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14.25" customHeight="1">
      <c r="A249" s="56"/>
      <c r="B249" s="56"/>
      <c r="C249" s="56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14.25" customHeight="1">
      <c r="A250" s="56"/>
      <c r="B250" s="56"/>
      <c r="C250" s="56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14.25" customHeight="1">
      <c r="A251" s="56"/>
      <c r="B251" s="56"/>
      <c r="C251" s="56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14.25" customHeight="1">
      <c r="A252" s="56"/>
      <c r="B252" s="56"/>
      <c r="C252" s="56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14.25" customHeight="1">
      <c r="A253" s="56"/>
      <c r="B253" s="56"/>
      <c r="C253" s="56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14.25" customHeight="1">
      <c r="A254" s="56"/>
      <c r="B254" s="56"/>
      <c r="C254" s="56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14.25" customHeight="1">
      <c r="A255" s="56"/>
      <c r="B255" s="56"/>
      <c r="C255" s="56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14.25" customHeight="1">
      <c r="A256" s="56"/>
      <c r="B256" s="56"/>
      <c r="C256" s="56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14.25" customHeight="1">
      <c r="A257" s="56"/>
      <c r="B257" s="56"/>
      <c r="C257" s="56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14.25" customHeight="1">
      <c r="A258" s="56"/>
      <c r="B258" s="56"/>
      <c r="C258" s="56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14.25" customHeight="1">
      <c r="A259" s="56"/>
      <c r="B259" s="56"/>
      <c r="C259" s="56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14.25" customHeight="1">
      <c r="A260" s="56"/>
      <c r="B260" s="56"/>
      <c r="C260" s="56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14.25" customHeight="1">
      <c r="A261" s="56"/>
      <c r="B261" s="56"/>
      <c r="C261" s="56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14.25" customHeight="1">
      <c r="A262" s="56"/>
      <c r="B262" s="56"/>
      <c r="C262" s="56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14.25" customHeight="1">
      <c r="A263" s="56"/>
      <c r="B263" s="56"/>
      <c r="C263" s="56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14.25" customHeight="1">
      <c r="A264" s="56"/>
      <c r="B264" s="56"/>
      <c r="C264" s="56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14.25" customHeight="1">
      <c r="A265" s="56"/>
      <c r="B265" s="56"/>
      <c r="C265" s="56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14.25" customHeight="1">
      <c r="A266" s="56"/>
      <c r="B266" s="56"/>
      <c r="C266" s="56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14.25" customHeight="1">
      <c r="A267" s="56"/>
      <c r="B267" s="56"/>
      <c r="C267" s="56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14.25" customHeight="1">
      <c r="A268" s="56"/>
      <c r="B268" s="56"/>
      <c r="C268" s="56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14.25" customHeight="1">
      <c r="A269" s="56"/>
      <c r="B269" s="56"/>
      <c r="C269" s="56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14.25" customHeight="1">
      <c r="A270" s="56"/>
      <c r="B270" s="56"/>
      <c r="C270" s="56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14.25" customHeight="1">
      <c r="A271" s="56"/>
      <c r="B271" s="56"/>
      <c r="C271" s="56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14.25" customHeight="1">
      <c r="A272" s="56"/>
      <c r="B272" s="56"/>
      <c r="C272" s="56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14.25" customHeight="1">
      <c r="A273" s="56"/>
      <c r="B273" s="56"/>
      <c r="C273" s="56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14.25" customHeight="1">
      <c r="A274" s="56"/>
      <c r="B274" s="56"/>
      <c r="C274" s="56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14.25" customHeight="1">
      <c r="A275" s="56"/>
      <c r="B275" s="56"/>
      <c r="C275" s="56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14.25" customHeight="1">
      <c r="A276" s="56"/>
      <c r="B276" s="56"/>
      <c r="C276" s="56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14.25" customHeight="1">
      <c r="A277" s="56"/>
      <c r="B277" s="56"/>
      <c r="C277" s="56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14.25" customHeight="1">
      <c r="A278" s="56"/>
      <c r="B278" s="56"/>
      <c r="C278" s="56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14.25" customHeight="1">
      <c r="A279" s="56"/>
      <c r="B279" s="56"/>
      <c r="C279" s="56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14.25" customHeight="1">
      <c r="A280" s="56"/>
      <c r="B280" s="56"/>
      <c r="C280" s="56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14.25" customHeight="1">
      <c r="A281" s="56"/>
      <c r="B281" s="56"/>
      <c r="C281" s="56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14.25" customHeight="1">
      <c r="A282" s="56"/>
      <c r="B282" s="56"/>
      <c r="C282" s="56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14.25" customHeight="1">
      <c r="A283" s="56"/>
      <c r="B283" s="56"/>
      <c r="C283" s="56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14.25" customHeight="1">
      <c r="A284" s="56"/>
      <c r="B284" s="56"/>
      <c r="C284" s="56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14.25" customHeight="1">
      <c r="A285" s="56"/>
      <c r="B285" s="56"/>
      <c r="C285" s="56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14.25" customHeight="1">
      <c r="A286" s="56"/>
      <c r="B286" s="56"/>
      <c r="C286" s="56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14.25" customHeight="1">
      <c r="A287" s="56"/>
      <c r="B287" s="56"/>
      <c r="C287" s="56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14.25" customHeight="1">
      <c r="A288" s="56"/>
      <c r="B288" s="56"/>
      <c r="C288" s="56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14.25" customHeight="1">
      <c r="A289" s="56"/>
      <c r="B289" s="56"/>
      <c r="C289" s="56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14.25" customHeight="1">
      <c r="A290" s="56"/>
      <c r="B290" s="56"/>
      <c r="C290" s="56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14.25" customHeight="1">
      <c r="A291" s="56"/>
      <c r="B291" s="56"/>
      <c r="C291" s="56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14.25" customHeight="1">
      <c r="A292" s="56"/>
      <c r="B292" s="56"/>
      <c r="C292" s="56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14.25" customHeight="1">
      <c r="A293" s="56"/>
      <c r="B293" s="56"/>
      <c r="C293" s="56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14.25" customHeight="1">
      <c r="A294" s="56"/>
      <c r="B294" s="56"/>
      <c r="C294" s="56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14.25" customHeight="1">
      <c r="A295" s="56"/>
      <c r="B295" s="56"/>
      <c r="C295" s="56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14.25" customHeight="1">
      <c r="A296" s="56"/>
      <c r="B296" s="56"/>
      <c r="C296" s="56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14.25" customHeight="1">
      <c r="A297" s="56"/>
      <c r="B297" s="56"/>
      <c r="C297" s="56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14.25" customHeight="1">
      <c r="A298" s="56"/>
      <c r="B298" s="56"/>
      <c r="C298" s="56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14.25" customHeight="1">
      <c r="A299" s="56"/>
      <c r="B299" s="56"/>
      <c r="C299" s="56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14.25" customHeight="1">
      <c r="A300" s="56"/>
      <c r="B300" s="56"/>
      <c r="C300" s="56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14.25" customHeight="1">
      <c r="A301" s="56"/>
      <c r="B301" s="56"/>
      <c r="C301" s="56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14.25" customHeight="1">
      <c r="A302" s="56"/>
      <c r="B302" s="56"/>
      <c r="C302" s="56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14.25" customHeight="1">
      <c r="A303" s="56"/>
      <c r="B303" s="56"/>
      <c r="C303" s="56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14.25" customHeight="1">
      <c r="A304" s="56"/>
      <c r="B304" s="56"/>
      <c r="C304" s="56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14.25" customHeight="1">
      <c r="A305" s="56"/>
      <c r="B305" s="56"/>
      <c r="C305" s="56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14.25" customHeight="1">
      <c r="A306" s="56"/>
      <c r="B306" s="56"/>
      <c r="C306" s="56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14.25" customHeight="1">
      <c r="A307" s="56"/>
      <c r="B307" s="56"/>
      <c r="C307" s="56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14.25" customHeight="1">
      <c r="A308" s="56"/>
      <c r="B308" s="56"/>
      <c r="C308" s="56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14.25" customHeight="1">
      <c r="A309" s="56"/>
      <c r="B309" s="56"/>
      <c r="C309" s="56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14.25" customHeight="1">
      <c r="A310" s="56"/>
      <c r="B310" s="56"/>
      <c r="C310" s="56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14.25" customHeight="1">
      <c r="A311" s="56"/>
      <c r="B311" s="56"/>
      <c r="C311" s="56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14.25" customHeight="1">
      <c r="A312" s="56"/>
      <c r="B312" s="56"/>
      <c r="C312" s="56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14.25" customHeight="1">
      <c r="A313" s="56"/>
      <c r="B313" s="56"/>
      <c r="C313" s="56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14.25" customHeight="1">
      <c r="A314" s="56"/>
      <c r="B314" s="56"/>
      <c r="C314" s="56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14.25" customHeight="1">
      <c r="A315" s="56"/>
      <c r="B315" s="56"/>
      <c r="C315" s="56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14.25" customHeight="1">
      <c r="A316" s="56"/>
      <c r="B316" s="56"/>
      <c r="C316" s="56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14.25" customHeight="1">
      <c r="A317" s="56"/>
      <c r="B317" s="56"/>
      <c r="C317" s="56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14.25" customHeight="1">
      <c r="A318" s="56"/>
      <c r="B318" s="56"/>
      <c r="C318" s="56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14.25" customHeight="1">
      <c r="A319" s="56"/>
      <c r="B319" s="56"/>
      <c r="C319" s="56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14.25" customHeight="1">
      <c r="A320" s="56"/>
      <c r="B320" s="56"/>
      <c r="C320" s="56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14.25" customHeight="1">
      <c r="A321" s="56"/>
      <c r="B321" s="56"/>
      <c r="C321" s="56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4.25" customHeight="1">
      <c r="A322" s="56"/>
      <c r="B322" s="56"/>
      <c r="C322" s="56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14.25" customHeight="1">
      <c r="A323" s="56"/>
      <c r="B323" s="56"/>
      <c r="C323" s="56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4.25" customHeight="1">
      <c r="A324" s="56"/>
      <c r="B324" s="56"/>
      <c r="C324" s="56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14.25" customHeight="1">
      <c r="A325" s="56"/>
      <c r="B325" s="56"/>
      <c r="C325" s="56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14.25" customHeight="1">
      <c r="A326" s="56"/>
      <c r="B326" s="56"/>
      <c r="C326" s="56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14.25" customHeight="1">
      <c r="A327" s="56"/>
      <c r="B327" s="56"/>
      <c r="C327" s="56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14.25" customHeight="1">
      <c r="A328" s="56"/>
      <c r="B328" s="56"/>
      <c r="C328" s="56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14.25" customHeight="1">
      <c r="A329" s="56"/>
      <c r="B329" s="56"/>
      <c r="C329" s="56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14.25" customHeight="1">
      <c r="A330" s="56"/>
      <c r="B330" s="56"/>
      <c r="C330" s="56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14.25" customHeight="1">
      <c r="A331" s="56"/>
      <c r="B331" s="56"/>
      <c r="C331" s="56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14.25" customHeight="1">
      <c r="A332" s="56"/>
      <c r="B332" s="56"/>
      <c r="C332" s="56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4.25" customHeight="1">
      <c r="A333" s="56"/>
      <c r="B333" s="56"/>
      <c r="C333" s="56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14.25" customHeight="1">
      <c r="A334" s="56"/>
      <c r="B334" s="56"/>
      <c r="C334" s="56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14.25" customHeight="1">
      <c r="A335" s="56"/>
      <c r="B335" s="56"/>
      <c r="C335" s="56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14.25" customHeight="1">
      <c r="A336" s="56"/>
      <c r="B336" s="56"/>
      <c r="C336" s="56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14.25" customHeight="1">
      <c r="A337" s="56"/>
      <c r="B337" s="56"/>
      <c r="C337" s="56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14.25" customHeight="1">
      <c r="A338" s="56"/>
      <c r="B338" s="56"/>
      <c r="C338" s="56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14.25" customHeight="1">
      <c r="A339" s="56"/>
      <c r="B339" s="56"/>
      <c r="C339" s="56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14.25" customHeight="1">
      <c r="A340" s="56"/>
      <c r="B340" s="56"/>
      <c r="C340" s="56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14.25" customHeight="1">
      <c r="A341" s="56"/>
      <c r="B341" s="56"/>
      <c r="C341" s="56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14.25" customHeight="1">
      <c r="A342" s="56"/>
      <c r="B342" s="56"/>
      <c r="C342" s="56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14.25" customHeight="1">
      <c r="A343" s="56"/>
      <c r="B343" s="56"/>
      <c r="C343" s="56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14.25" customHeight="1">
      <c r="A344" s="56"/>
      <c r="B344" s="56"/>
      <c r="C344" s="56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14.25" customHeight="1">
      <c r="A345" s="56"/>
      <c r="B345" s="56"/>
      <c r="C345" s="56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14.25" customHeight="1">
      <c r="A346" s="56"/>
      <c r="B346" s="56"/>
      <c r="C346" s="56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14.25" customHeight="1">
      <c r="A347" s="56"/>
      <c r="B347" s="56"/>
      <c r="C347" s="56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14.25" customHeight="1">
      <c r="A348" s="56"/>
      <c r="B348" s="56"/>
      <c r="C348" s="56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14.25" customHeight="1">
      <c r="A349" s="56"/>
      <c r="B349" s="56"/>
      <c r="C349" s="56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14.25" customHeight="1">
      <c r="A350" s="56"/>
      <c r="B350" s="56"/>
      <c r="C350" s="56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14.25" customHeight="1">
      <c r="A351" s="56"/>
      <c r="B351" s="56"/>
      <c r="C351" s="56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4.25" customHeight="1">
      <c r="A352" s="56"/>
      <c r="B352" s="56"/>
      <c r="C352" s="56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14.25" customHeight="1">
      <c r="A353" s="56"/>
      <c r="B353" s="56"/>
      <c r="C353" s="56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4.25" customHeight="1">
      <c r="A354" s="56"/>
      <c r="B354" s="56"/>
      <c r="C354" s="56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14.25" customHeight="1">
      <c r="A355" s="56"/>
      <c r="B355" s="56"/>
      <c r="C355" s="56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4.25" customHeight="1">
      <c r="A356" s="56"/>
      <c r="B356" s="56"/>
      <c r="C356" s="56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14.25" customHeight="1">
      <c r="A357" s="56"/>
      <c r="B357" s="56"/>
      <c r="C357" s="56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14.25" customHeight="1">
      <c r="A358" s="56"/>
      <c r="B358" s="56"/>
      <c r="C358" s="56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14.25" customHeight="1">
      <c r="A359" s="56"/>
      <c r="B359" s="56"/>
      <c r="C359" s="56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4.25" customHeight="1">
      <c r="A360" s="56"/>
      <c r="B360" s="56"/>
      <c r="C360" s="56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4.25" customHeight="1">
      <c r="A361" s="56"/>
      <c r="B361" s="56"/>
      <c r="C361" s="56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4.25" customHeight="1">
      <c r="A362" s="56"/>
      <c r="B362" s="56"/>
      <c r="C362" s="56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4.25" customHeight="1">
      <c r="A363" s="56"/>
      <c r="B363" s="56"/>
      <c r="C363" s="56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4.25" customHeight="1">
      <c r="A364" s="56"/>
      <c r="B364" s="56"/>
      <c r="C364" s="56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4.25" customHeight="1">
      <c r="A365" s="56"/>
      <c r="B365" s="56"/>
      <c r="C365" s="56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4.25" customHeight="1">
      <c r="A366" s="56"/>
      <c r="B366" s="56"/>
      <c r="C366" s="56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4.25" customHeight="1">
      <c r="A367" s="56"/>
      <c r="B367" s="56"/>
      <c r="C367" s="56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4.25" customHeight="1">
      <c r="A368" s="56"/>
      <c r="B368" s="56"/>
      <c r="C368" s="56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4.25" customHeight="1">
      <c r="A369" s="56"/>
      <c r="B369" s="56"/>
      <c r="C369" s="56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4.25" customHeight="1">
      <c r="A370" s="56"/>
      <c r="B370" s="56"/>
      <c r="C370" s="56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4.25" customHeight="1">
      <c r="A371" s="56"/>
      <c r="B371" s="56"/>
      <c r="C371" s="56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4.25" customHeight="1">
      <c r="A372" s="56"/>
      <c r="B372" s="56"/>
      <c r="C372" s="56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4.25" customHeight="1">
      <c r="A373" s="56"/>
      <c r="B373" s="56"/>
      <c r="C373" s="56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4.25" customHeight="1">
      <c r="A374" s="56"/>
      <c r="B374" s="56"/>
      <c r="C374" s="56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4.25" customHeight="1">
      <c r="A375" s="56"/>
      <c r="B375" s="56"/>
      <c r="C375" s="56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4.25" customHeight="1">
      <c r="A376" s="56"/>
      <c r="B376" s="56"/>
      <c r="C376" s="56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4.25" customHeight="1">
      <c r="A377" s="56"/>
      <c r="B377" s="56"/>
      <c r="C377" s="56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4.25" customHeight="1">
      <c r="A378" s="56"/>
      <c r="B378" s="56"/>
      <c r="C378" s="56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4.25" customHeight="1">
      <c r="A379" s="56"/>
      <c r="B379" s="56"/>
      <c r="C379" s="56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4.25" customHeight="1">
      <c r="A380" s="56"/>
      <c r="B380" s="56"/>
      <c r="C380" s="56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4.25" customHeight="1">
      <c r="A381" s="56"/>
      <c r="B381" s="56"/>
      <c r="C381" s="56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4.25" customHeight="1">
      <c r="A382" s="56"/>
      <c r="B382" s="56"/>
      <c r="C382" s="56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4.25" customHeight="1">
      <c r="A383" s="56"/>
      <c r="B383" s="56"/>
      <c r="C383" s="56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4.25" customHeight="1">
      <c r="A384" s="56"/>
      <c r="B384" s="56"/>
      <c r="C384" s="56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4.25" customHeight="1">
      <c r="A385" s="56"/>
      <c r="B385" s="56"/>
      <c r="C385" s="56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4.25" customHeight="1">
      <c r="A386" s="56"/>
      <c r="B386" s="56"/>
      <c r="C386" s="56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4.25" customHeight="1">
      <c r="A387" s="56"/>
      <c r="B387" s="56"/>
      <c r="C387" s="56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4.25" customHeight="1">
      <c r="A388" s="56"/>
      <c r="B388" s="56"/>
      <c r="C388" s="56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4.25" customHeight="1">
      <c r="A389" s="56"/>
      <c r="B389" s="56"/>
      <c r="C389" s="56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4.25" customHeight="1">
      <c r="A390" s="56"/>
      <c r="B390" s="56"/>
      <c r="C390" s="56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4.25" customHeight="1">
      <c r="A391" s="56"/>
      <c r="B391" s="56"/>
      <c r="C391" s="56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4.25" customHeight="1">
      <c r="A392" s="56"/>
      <c r="B392" s="56"/>
      <c r="C392" s="56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4.25" customHeight="1">
      <c r="A393" s="56"/>
      <c r="B393" s="56"/>
      <c r="C393" s="56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4.25" customHeight="1">
      <c r="A394" s="56"/>
      <c r="B394" s="56"/>
      <c r="C394" s="56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4.25" customHeight="1">
      <c r="A395" s="56"/>
      <c r="B395" s="56"/>
      <c r="C395" s="56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4.25" customHeight="1">
      <c r="A396" s="56"/>
      <c r="B396" s="56"/>
      <c r="C396" s="56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4.25" customHeight="1">
      <c r="A397" s="56"/>
      <c r="B397" s="56"/>
      <c r="C397" s="56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4.25" customHeight="1">
      <c r="A398" s="56"/>
      <c r="B398" s="56"/>
      <c r="C398" s="56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4.25" customHeight="1">
      <c r="A399" s="56"/>
      <c r="B399" s="56"/>
      <c r="C399" s="56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4.25" customHeight="1">
      <c r="A400" s="56"/>
      <c r="B400" s="56"/>
      <c r="C400" s="56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4.25" customHeight="1">
      <c r="A401" s="56"/>
      <c r="B401" s="56"/>
      <c r="C401" s="56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4.25" customHeight="1">
      <c r="A402" s="56"/>
      <c r="B402" s="56"/>
      <c r="C402" s="56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14.25" customHeight="1">
      <c r="A403" s="56"/>
      <c r="B403" s="56"/>
      <c r="C403" s="56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14.25" customHeight="1">
      <c r="A404" s="56"/>
      <c r="B404" s="56"/>
      <c r="C404" s="56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14.25" customHeight="1">
      <c r="A405" s="56"/>
      <c r="B405" s="56"/>
      <c r="C405" s="56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14.25" customHeight="1">
      <c r="A406" s="56"/>
      <c r="B406" s="56"/>
      <c r="C406" s="56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14.25" customHeight="1">
      <c r="A407" s="56"/>
      <c r="B407" s="56"/>
      <c r="C407" s="56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14.25" customHeight="1">
      <c r="A408" s="56"/>
      <c r="B408" s="56"/>
      <c r="C408" s="56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14.25" customHeight="1">
      <c r="A409" s="56"/>
      <c r="B409" s="56"/>
      <c r="C409" s="56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4.25" customHeight="1">
      <c r="A410" s="56"/>
      <c r="B410" s="56"/>
      <c r="C410" s="56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14.25" customHeight="1">
      <c r="A411" s="56"/>
      <c r="B411" s="56"/>
      <c r="C411" s="56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14.25" customHeight="1">
      <c r="A412" s="56"/>
      <c r="B412" s="56"/>
      <c r="C412" s="56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14.25" customHeight="1">
      <c r="A413" s="56"/>
      <c r="B413" s="56"/>
      <c r="C413" s="56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14.25" customHeight="1">
      <c r="A414" s="56"/>
      <c r="B414" s="56"/>
      <c r="C414" s="56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14.25" customHeight="1">
      <c r="A415" s="56"/>
      <c r="B415" s="56"/>
      <c r="C415" s="56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14.25" customHeight="1">
      <c r="A416" s="56"/>
      <c r="B416" s="56"/>
      <c r="C416" s="56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14.25" customHeight="1">
      <c r="A417" s="56"/>
      <c r="B417" s="56"/>
      <c r="C417" s="56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14.25" customHeight="1">
      <c r="A418" s="56"/>
      <c r="B418" s="56"/>
      <c r="C418" s="56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14.25" customHeight="1">
      <c r="A419" s="56"/>
      <c r="B419" s="56"/>
      <c r="C419" s="56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14.25" customHeight="1">
      <c r="A420" s="56"/>
      <c r="B420" s="56"/>
      <c r="C420" s="56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14.25" customHeight="1">
      <c r="A421" s="56"/>
      <c r="B421" s="56"/>
      <c r="C421" s="56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14.25" customHeight="1">
      <c r="A422" s="56"/>
      <c r="B422" s="56"/>
      <c r="C422" s="56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14.25" customHeight="1">
      <c r="A423" s="56"/>
      <c r="B423" s="56"/>
      <c r="C423" s="56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14.25" customHeight="1">
      <c r="A424" s="56"/>
      <c r="B424" s="56"/>
      <c r="C424" s="56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14.25" customHeight="1">
      <c r="A425" s="56"/>
      <c r="B425" s="56"/>
      <c r="C425" s="56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14.25" customHeight="1">
      <c r="A426" s="56"/>
      <c r="B426" s="56"/>
      <c r="C426" s="56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14.25" customHeight="1">
      <c r="A427" s="56"/>
      <c r="B427" s="56"/>
      <c r="C427" s="56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14.25" customHeight="1">
      <c r="A428" s="56"/>
      <c r="B428" s="56"/>
      <c r="C428" s="56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14.25" customHeight="1">
      <c r="A429" s="56"/>
      <c r="B429" s="56"/>
      <c r="C429" s="56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14.25" customHeight="1">
      <c r="A430" s="56"/>
      <c r="B430" s="56"/>
      <c r="C430" s="56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14.25" customHeight="1">
      <c r="A431" s="56"/>
      <c r="B431" s="56"/>
      <c r="C431" s="56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14.25" customHeight="1">
      <c r="A432" s="56"/>
      <c r="B432" s="56"/>
      <c r="C432" s="56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14.25" customHeight="1">
      <c r="A433" s="56"/>
      <c r="B433" s="56"/>
      <c r="C433" s="56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14.25" customHeight="1">
      <c r="A434" s="56"/>
      <c r="B434" s="56"/>
      <c r="C434" s="56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14.25" customHeight="1">
      <c r="A435" s="56"/>
      <c r="B435" s="56"/>
      <c r="C435" s="56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14.25" customHeight="1">
      <c r="A436" s="56"/>
      <c r="B436" s="56"/>
      <c r="C436" s="56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14.25" customHeight="1">
      <c r="A437" s="56"/>
      <c r="B437" s="56"/>
      <c r="C437" s="56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14.25" customHeight="1">
      <c r="A438" s="56"/>
      <c r="B438" s="56"/>
      <c r="C438" s="56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14.25" customHeight="1">
      <c r="A439" s="56"/>
      <c r="B439" s="56"/>
      <c r="C439" s="56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14.25" customHeight="1">
      <c r="A440" s="56"/>
      <c r="B440" s="56"/>
      <c r="C440" s="56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14.25" customHeight="1">
      <c r="A441" s="56"/>
      <c r="B441" s="56"/>
      <c r="C441" s="56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14.25" customHeight="1">
      <c r="A442" s="56"/>
      <c r="B442" s="56"/>
      <c r="C442" s="56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14.25" customHeight="1">
      <c r="A443" s="56"/>
      <c r="B443" s="56"/>
      <c r="C443" s="56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14.25" customHeight="1">
      <c r="A444" s="56"/>
      <c r="B444" s="56"/>
      <c r="C444" s="56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14.25" customHeight="1">
      <c r="A445" s="56"/>
      <c r="B445" s="56"/>
      <c r="C445" s="56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14.25" customHeight="1">
      <c r="A446" s="56"/>
      <c r="B446" s="56"/>
      <c r="C446" s="56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14.25" customHeight="1">
      <c r="A447" s="56"/>
      <c r="B447" s="56"/>
      <c r="C447" s="56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14.25" customHeight="1">
      <c r="A448" s="56"/>
      <c r="B448" s="56"/>
      <c r="C448" s="56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14.25" customHeight="1">
      <c r="A449" s="56"/>
      <c r="B449" s="56"/>
      <c r="C449" s="56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14.25" customHeight="1">
      <c r="A450" s="56"/>
      <c r="B450" s="56"/>
      <c r="C450" s="56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14.25" customHeight="1">
      <c r="A451" s="56"/>
      <c r="B451" s="56"/>
      <c r="C451" s="56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14.25" customHeight="1">
      <c r="A452" s="56"/>
      <c r="B452" s="56"/>
      <c r="C452" s="56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14.25" customHeight="1">
      <c r="A453" s="56"/>
      <c r="B453" s="56"/>
      <c r="C453" s="56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14.25" customHeight="1">
      <c r="A454" s="56"/>
      <c r="B454" s="56"/>
      <c r="C454" s="56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14.25" customHeight="1">
      <c r="A455" s="56"/>
      <c r="B455" s="56"/>
      <c r="C455" s="56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14.25" customHeight="1">
      <c r="A456" s="56"/>
      <c r="B456" s="56"/>
      <c r="C456" s="56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14.25" customHeight="1">
      <c r="A457" s="56"/>
      <c r="B457" s="56"/>
      <c r="C457" s="56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14.25" customHeight="1">
      <c r="A458" s="56"/>
      <c r="B458" s="56"/>
      <c r="C458" s="56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14.25" customHeight="1">
      <c r="A459" s="56"/>
      <c r="B459" s="56"/>
      <c r="C459" s="56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14.25" customHeight="1">
      <c r="A460" s="56"/>
      <c r="B460" s="56"/>
      <c r="C460" s="56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14.25" customHeight="1">
      <c r="A461" s="56"/>
      <c r="B461" s="56"/>
      <c r="C461" s="56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14.25" customHeight="1">
      <c r="A462" s="56"/>
      <c r="B462" s="56"/>
      <c r="C462" s="56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14.25" customHeight="1">
      <c r="A463" s="56"/>
      <c r="B463" s="56"/>
      <c r="C463" s="56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14.25" customHeight="1">
      <c r="A464" s="56"/>
      <c r="B464" s="56"/>
      <c r="C464" s="56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14.25" customHeight="1">
      <c r="A465" s="56"/>
      <c r="B465" s="56"/>
      <c r="C465" s="56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14.25" customHeight="1">
      <c r="A466" s="56"/>
      <c r="B466" s="56"/>
      <c r="C466" s="56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14.25" customHeight="1">
      <c r="A467" s="56"/>
      <c r="B467" s="56"/>
      <c r="C467" s="56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14.25" customHeight="1">
      <c r="A468" s="56"/>
      <c r="B468" s="56"/>
      <c r="C468" s="56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14.25" customHeight="1">
      <c r="A469" s="56"/>
      <c r="B469" s="56"/>
      <c r="C469" s="56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14.25" customHeight="1">
      <c r="A470" s="56"/>
      <c r="B470" s="56"/>
      <c r="C470" s="56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14.25" customHeight="1">
      <c r="A471" s="56"/>
      <c r="B471" s="56"/>
      <c r="C471" s="56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14.25" customHeight="1">
      <c r="A472" s="56"/>
      <c r="B472" s="56"/>
      <c r="C472" s="56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14.25" customHeight="1">
      <c r="A473" s="56"/>
      <c r="B473" s="56"/>
      <c r="C473" s="56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14.25" customHeight="1">
      <c r="A474" s="56"/>
      <c r="B474" s="56"/>
      <c r="C474" s="56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14.25" customHeight="1">
      <c r="A475" s="56"/>
      <c r="B475" s="56"/>
      <c r="C475" s="56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14.25" customHeight="1">
      <c r="A476" s="56"/>
      <c r="B476" s="56"/>
      <c r="C476" s="56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14.25" customHeight="1">
      <c r="A477" s="56"/>
      <c r="B477" s="56"/>
      <c r="C477" s="56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14.25" customHeight="1">
      <c r="A478" s="56"/>
      <c r="B478" s="56"/>
      <c r="C478" s="56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14.25" customHeight="1">
      <c r="A479" s="56"/>
      <c r="B479" s="56"/>
      <c r="C479" s="56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14.25" customHeight="1">
      <c r="A480" s="56"/>
      <c r="B480" s="56"/>
      <c r="C480" s="56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14.25" customHeight="1">
      <c r="A481" s="56"/>
      <c r="B481" s="56"/>
      <c r="C481" s="56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14.25" customHeight="1">
      <c r="A482" s="56"/>
      <c r="B482" s="56"/>
      <c r="C482" s="56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14.25" customHeight="1">
      <c r="A483" s="56"/>
      <c r="B483" s="56"/>
      <c r="C483" s="56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14.25" customHeight="1">
      <c r="A484" s="56"/>
      <c r="B484" s="56"/>
      <c r="C484" s="56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14.25" customHeight="1">
      <c r="A485" s="56"/>
      <c r="B485" s="56"/>
      <c r="C485" s="56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14.25" customHeight="1">
      <c r="A486" s="56"/>
      <c r="B486" s="56"/>
      <c r="C486" s="56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14.25" customHeight="1">
      <c r="A487" s="56"/>
      <c r="B487" s="56"/>
      <c r="C487" s="56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14.25" customHeight="1">
      <c r="A488" s="56"/>
      <c r="B488" s="56"/>
      <c r="C488" s="56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14.25" customHeight="1">
      <c r="A489" s="56"/>
      <c r="B489" s="56"/>
      <c r="C489" s="56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14.25" customHeight="1">
      <c r="A490" s="56"/>
      <c r="B490" s="56"/>
      <c r="C490" s="56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14.25" customHeight="1">
      <c r="A491" s="56"/>
      <c r="B491" s="56"/>
      <c r="C491" s="56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14.25" customHeight="1">
      <c r="A492" s="56"/>
      <c r="B492" s="56"/>
      <c r="C492" s="56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14.25" customHeight="1">
      <c r="A493" s="56"/>
      <c r="B493" s="56"/>
      <c r="C493" s="56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14.25" customHeight="1">
      <c r="A494" s="56"/>
      <c r="B494" s="56"/>
      <c r="C494" s="56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14.25" customHeight="1">
      <c r="A495" s="56"/>
      <c r="B495" s="56"/>
      <c r="C495" s="56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14.25" customHeight="1">
      <c r="A496" s="56"/>
      <c r="B496" s="56"/>
      <c r="C496" s="56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14.25" customHeight="1">
      <c r="A497" s="56"/>
      <c r="B497" s="56"/>
      <c r="C497" s="56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14.25" customHeight="1">
      <c r="A498" s="56"/>
      <c r="B498" s="56"/>
      <c r="C498" s="56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14.25" customHeight="1">
      <c r="A499" s="56"/>
      <c r="B499" s="56"/>
      <c r="C499" s="56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14.25" customHeight="1">
      <c r="A500" s="56"/>
      <c r="B500" s="56"/>
      <c r="C500" s="56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14.25" customHeight="1">
      <c r="A501" s="56"/>
      <c r="B501" s="56"/>
      <c r="C501" s="56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14.25" customHeight="1">
      <c r="A502" s="56"/>
      <c r="B502" s="56"/>
      <c r="C502" s="56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14.25" customHeight="1">
      <c r="A503" s="56"/>
      <c r="B503" s="56"/>
      <c r="C503" s="56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14.25" customHeight="1">
      <c r="A504" s="56"/>
      <c r="B504" s="56"/>
      <c r="C504" s="56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14.25" customHeight="1">
      <c r="A505" s="56"/>
      <c r="B505" s="56"/>
      <c r="C505" s="56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14.25" customHeight="1">
      <c r="A506" s="56"/>
      <c r="B506" s="56"/>
      <c r="C506" s="56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14.25" customHeight="1">
      <c r="A507" s="56"/>
      <c r="B507" s="56"/>
      <c r="C507" s="56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14.25" customHeight="1">
      <c r="A508" s="56"/>
      <c r="B508" s="56"/>
      <c r="C508" s="56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14.25" customHeight="1">
      <c r="A509" s="56"/>
      <c r="B509" s="56"/>
      <c r="C509" s="56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14.25" customHeight="1">
      <c r="A510" s="56"/>
      <c r="B510" s="56"/>
      <c r="C510" s="56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14.25" customHeight="1">
      <c r="A511" s="56"/>
      <c r="B511" s="56"/>
      <c r="C511" s="56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14.25" customHeight="1">
      <c r="A512" s="56"/>
      <c r="B512" s="56"/>
      <c r="C512" s="56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14.25" customHeight="1">
      <c r="A513" s="56"/>
      <c r="B513" s="56"/>
      <c r="C513" s="56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14.25" customHeight="1">
      <c r="A514" s="56"/>
      <c r="B514" s="56"/>
      <c r="C514" s="56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14.25" customHeight="1">
      <c r="A515" s="56"/>
      <c r="B515" s="56"/>
      <c r="C515" s="56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14.25" customHeight="1">
      <c r="A516" s="56"/>
      <c r="B516" s="56"/>
      <c r="C516" s="56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14.25" customHeight="1">
      <c r="A517" s="56"/>
      <c r="B517" s="56"/>
      <c r="C517" s="56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14.25" customHeight="1">
      <c r="A518" s="56"/>
      <c r="B518" s="56"/>
      <c r="C518" s="56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14.25" customHeight="1">
      <c r="A519" s="56"/>
      <c r="B519" s="56"/>
      <c r="C519" s="56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14.25" customHeight="1">
      <c r="A520" s="56"/>
      <c r="B520" s="56"/>
      <c r="C520" s="56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14.25" customHeight="1">
      <c r="A521" s="56"/>
      <c r="B521" s="56"/>
      <c r="C521" s="56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14.25" customHeight="1">
      <c r="A522" s="56"/>
      <c r="B522" s="56"/>
      <c r="C522" s="56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14.25" customHeight="1">
      <c r="A523" s="56"/>
      <c r="B523" s="56"/>
      <c r="C523" s="56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14.25" customHeight="1">
      <c r="A524" s="56"/>
      <c r="B524" s="56"/>
      <c r="C524" s="56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14.25" customHeight="1">
      <c r="A525" s="56"/>
      <c r="B525" s="56"/>
      <c r="C525" s="56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14.25" customHeight="1">
      <c r="A526" s="56"/>
      <c r="B526" s="56"/>
      <c r="C526" s="56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14.25" customHeight="1">
      <c r="A527" s="56"/>
      <c r="B527" s="56"/>
      <c r="C527" s="56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14.25" customHeight="1">
      <c r="A528" s="56"/>
      <c r="B528" s="56"/>
      <c r="C528" s="56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14.25" customHeight="1">
      <c r="A529" s="56"/>
      <c r="B529" s="56"/>
      <c r="C529" s="56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14.25" customHeight="1">
      <c r="A530" s="56"/>
      <c r="B530" s="56"/>
      <c r="C530" s="56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14.25" customHeight="1">
      <c r="A531" s="56"/>
      <c r="B531" s="56"/>
      <c r="C531" s="56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14.25" customHeight="1">
      <c r="A532" s="56"/>
      <c r="B532" s="56"/>
      <c r="C532" s="56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14.25" customHeight="1">
      <c r="A533" s="56"/>
      <c r="B533" s="56"/>
      <c r="C533" s="56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14.25" customHeight="1">
      <c r="A534" s="56"/>
      <c r="B534" s="56"/>
      <c r="C534" s="56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14.25" customHeight="1">
      <c r="A535" s="56"/>
      <c r="B535" s="56"/>
      <c r="C535" s="56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14.25" customHeight="1">
      <c r="A536" s="56"/>
      <c r="B536" s="56"/>
      <c r="C536" s="56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14.25" customHeight="1">
      <c r="A537" s="56"/>
      <c r="B537" s="56"/>
      <c r="C537" s="56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14.25" customHeight="1">
      <c r="A538" s="56"/>
      <c r="B538" s="56"/>
      <c r="C538" s="56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14.25" customHeight="1">
      <c r="A539" s="56"/>
      <c r="B539" s="56"/>
      <c r="C539" s="56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14.25" customHeight="1">
      <c r="A540" s="56"/>
      <c r="B540" s="56"/>
      <c r="C540" s="56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14.25" customHeight="1">
      <c r="A541" s="56"/>
      <c r="B541" s="56"/>
      <c r="C541" s="56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14.25" customHeight="1">
      <c r="A542" s="56"/>
      <c r="B542" s="56"/>
      <c r="C542" s="56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14.25" customHeight="1">
      <c r="A543" s="56"/>
      <c r="B543" s="56"/>
      <c r="C543" s="56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14.25" customHeight="1">
      <c r="A544" s="56"/>
      <c r="B544" s="56"/>
      <c r="C544" s="56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14.25" customHeight="1">
      <c r="A545" s="56"/>
      <c r="B545" s="56"/>
      <c r="C545" s="56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14.25" customHeight="1">
      <c r="A546" s="56"/>
      <c r="B546" s="56"/>
      <c r="C546" s="56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14.25" customHeight="1">
      <c r="A547" s="56"/>
      <c r="B547" s="56"/>
      <c r="C547" s="56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14.25" customHeight="1">
      <c r="A548" s="56"/>
      <c r="B548" s="56"/>
      <c r="C548" s="56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14.25" customHeight="1">
      <c r="A549" s="56"/>
      <c r="B549" s="56"/>
      <c r="C549" s="56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14.25" customHeight="1">
      <c r="A550" s="56"/>
      <c r="B550" s="56"/>
      <c r="C550" s="56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14.25" customHeight="1">
      <c r="A551" s="56"/>
      <c r="B551" s="56"/>
      <c r="C551" s="56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14.25" customHeight="1">
      <c r="A552" s="56"/>
      <c r="B552" s="56"/>
      <c r="C552" s="56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14.25" customHeight="1">
      <c r="A553" s="56"/>
      <c r="B553" s="56"/>
      <c r="C553" s="56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14.25" customHeight="1">
      <c r="A554" s="56"/>
      <c r="B554" s="56"/>
      <c r="C554" s="56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14.25" customHeight="1">
      <c r="A555" s="56"/>
      <c r="B555" s="56"/>
      <c r="C555" s="56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14.25" customHeight="1">
      <c r="A556" s="56"/>
      <c r="B556" s="56"/>
      <c r="C556" s="56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14.25" customHeight="1">
      <c r="A557" s="56"/>
      <c r="B557" s="56"/>
      <c r="C557" s="56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14.25" customHeight="1">
      <c r="A558" s="56"/>
      <c r="B558" s="56"/>
      <c r="C558" s="56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14.25" customHeight="1">
      <c r="A559" s="56"/>
      <c r="B559" s="56"/>
      <c r="C559" s="56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14.25" customHeight="1">
      <c r="A560" s="56"/>
      <c r="B560" s="56"/>
      <c r="C560" s="56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14.25" customHeight="1">
      <c r="A561" s="56"/>
      <c r="B561" s="56"/>
      <c r="C561" s="56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14.25" customHeight="1">
      <c r="A562" s="56"/>
      <c r="B562" s="56"/>
      <c r="C562" s="56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14.25" customHeight="1">
      <c r="A563" s="56"/>
      <c r="B563" s="56"/>
      <c r="C563" s="56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14.25" customHeight="1">
      <c r="A564" s="56"/>
      <c r="B564" s="56"/>
      <c r="C564" s="56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14.25" customHeight="1">
      <c r="A565" s="56"/>
      <c r="B565" s="56"/>
      <c r="C565" s="56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14.25" customHeight="1">
      <c r="A566" s="56"/>
      <c r="B566" s="56"/>
      <c r="C566" s="56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14.25" customHeight="1">
      <c r="A567" s="56"/>
      <c r="B567" s="56"/>
      <c r="C567" s="56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14.25" customHeight="1">
      <c r="A568" s="56"/>
      <c r="B568" s="56"/>
      <c r="C568" s="56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14.25" customHeight="1">
      <c r="A569" s="56"/>
      <c r="B569" s="56"/>
      <c r="C569" s="56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14.25" customHeight="1">
      <c r="A570" s="56"/>
      <c r="B570" s="56"/>
      <c r="C570" s="56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14.25" customHeight="1">
      <c r="A571" s="56"/>
      <c r="B571" s="56"/>
      <c r="C571" s="56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14.25" customHeight="1">
      <c r="A572" s="56"/>
      <c r="B572" s="56"/>
      <c r="C572" s="56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14.25" customHeight="1">
      <c r="A573" s="56"/>
      <c r="B573" s="56"/>
      <c r="C573" s="56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14.25" customHeight="1">
      <c r="A574" s="56"/>
      <c r="B574" s="56"/>
      <c r="C574" s="56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14.25" customHeight="1">
      <c r="A575" s="56"/>
      <c r="B575" s="56"/>
      <c r="C575" s="56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14.25" customHeight="1">
      <c r="A576" s="56"/>
      <c r="B576" s="56"/>
      <c r="C576" s="56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14.25" customHeight="1">
      <c r="A577" s="56"/>
      <c r="B577" s="56"/>
      <c r="C577" s="56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14.25" customHeight="1">
      <c r="A578" s="56"/>
      <c r="B578" s="56"/>
      <c r="C578" s="56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14.25" customHeight="1">
      <c r="A579" s="56"/>
      <c r="B579" s="56"/>
      <c r="C579" s="56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14.25" customHeight="1">
      <c r="A580" s="56"/>
      <c r="B580" s="56"/>
      <c r="C580" s="56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14.25" customHeight="1">
      <c r="A581" s="56"/>
      <c r="B581" s="56"/>
      <c r="C581" s="56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14.25" customHeight="1">
      <c r="A582" s="56"/>
      <c r="B582" s="56"/>
      <c r="C582" s="56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14.25" customHeight="1">
      <c r="A583" s="56"/>
      <c r="B583" s="56"/>
      <c r="C583" s="56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14.25" customHeight="1">
      <c r="A584" s="56"/>
      <c r="B584" s="56"/>
      <c r="C584" s="56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14.25" customHeight="1">
      <c r="A585" s="56"/>
      <c r="B585" s="56"/>
      <c r="C585" s="56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14.25" customHeight="1">
      <c r="A586" s="56"/>
      <c r="B586" s="56"/>
      <c r="C586" s="56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14.25" customHeight="1">
      <c r="A587" s="56"/>
      <c r="B587" s="56"/>
      <c r="C587" s="56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14.25" customHeight="1">
      <c r="A588" s="56"/>
      <c r="B588" s="56"/>
      <c r="C588" s="56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14.25" customHeight="1">
      <c r="A589" s="56"/>
      <c r="B589" s="56"/>
      <c r="C589" s="56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14.25" customHeight="1">
      <c r="A590" s="56"/>
      <c r="B590" s="56"/>
      <c r="C590" s="56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14.25" customHeight="1">
      <c r="A591" s="56"/>
      <c r="B591" s="56"/>
      <c r="C591" s="56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14.25" customHeight="1">
      <c r="A592" s="56"/>
      <c r="B592" s="56"/>
      <c r="C592" s="56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14.25" customHeight="1">
      <c r="A593" s="56"/>
      <c r="B593" s="56"/>
      <c r="C593" s="56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14.25" customHeight="1">
      <c r="A594" s="56"/>
      <c r="B594" s="56"/>
      <c r="C594" s="56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14.25" customHeight="1">
      <c r="A595" s="56"/>
      <c r="B595" s="56"/>
      <c r="C595" s="56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14.25" customHeight="1">
      <c r="A596" s="56"/>
      <c r="B596" s="56"/>
      <c r="C596" s="56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14.25" customHeight="1">
      <c r="A597" s="56"/>
      <c r="B597" s="56"/>
      <c r="C597" s="56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14.25" customHeight="1">
      <c r="A598" s="56"/>
      <c r="B598" s="56"/>
      <c r="C598" s="56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14.25" customHeight="1">
      <c r="A599" s="56"/>
      <c r="B599" s="56"/>
      <c r="C599" s="56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14.25" customHeight="1">
      <c r="A600" s="56"/>
      <c r="B600" s="56"/>
      <c r="C600" s="56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14.25" customHeight="1">
      <c r="A601" s="56"/>
      <c r="B601" s="56"/>
      <c r="C601" s="56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14.25" customHeight="1">
      <c r="A602" s="56"/>
      <c r="B602" s="56"/>
      <c r="C602" s="56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14.25" customHeight="1">
      <c r="A603" s="56"/>
      <c r="B603" s="56"/>
      <c r="C603" s="56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14.25" customHeight="1">
      <c r="A604" s="56"/>
      <c r="B604" s="56"/>
      <c r="C604" s="56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14.25" customHeight="1">
      <c r="A605" s="56"/>
      <c r="B605" s="56"/>
      <c r="C605" s="56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14.25" customHeight="1">
      <c r="A606" s="56"/>
      <c r="B606" s="56"/>
      <c r="C606" s="56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14.25" customHeight="1">
      <c r="A607" s="56"/>
      <c r="B607" s="56"/>
      <c r="C607" s="56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14.25" customHeight="1">
      <c r="A608" s="56"/>
      <c r="B608" s="56"/>
      <c r="C608" s="56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14.25" customHeight="1">
      <c r="A609" s="56"/>
      <c r="B609" s="56"/>
      <c r="C609" s="56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14.25" customHeight="1">
      <c r="A610" s="56"/>
      <c r="B610" s="56"/>
      <c r="C610" s="56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14.25" customHeight="1">
      <c r="A611" s="56"/>
      <c r="B611" s="56"/>
      <c r="C611" s="56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14.25" customHeight="1">
      <c r="A612" s="56"/>
      <c r="B612" s="56"/>
      <c r="C612" s="56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14.25" customHeight="1">
      <c r="A613" s="56"/>
      <c r="B613" s="56"/>
      <c r="C613" s="56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14.25" customHeight="1">
      <c r="A614" s="56"/>
      <c r="B614" s="56"/>
      <c r="C614" s="56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14.25" customHeight="1">
      <c r="A615" s="56"/>
      <c r="B615" s="56"/>
      <c r="C615" s="56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14.25" customHeight="1">
      <c r="A616" s="56"/>
      <c r="B616" s="56"/>
      <c r="C616" s="56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14.25" customHeight="1">
      <c r="A617" s="56"/>
      <c r="B617" s="56"/>
      <c r="C617" s="56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14.25" customHeight="1">
      <c r="A618" s="56"/>
      <c r="B618" s="56"/>
      <c r="C618" s="56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14.25" customHeight="1">
      <c r="A619" s="56"/>
      <c r="B619" s="56"/>
      <c r="C619" s="56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14.25" customHeight="1">
      <c r="A620" s="56"/>
      <c r="B620" s="56"/>
      <c r="C620" s="56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14.25" customHeight="1">
      <c r="A621" s="56"/>
      <c r="B621" s="56"/>
      <c r="C621" s="56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14.25" customHeight="1">
      <c r="A622" s="56"/>
      <c r="B622" s="56"/>
      <c r="C622" s="56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14.25" customHeight="1">
      <c r="A623" s="56"/>
      <c r="B623" s="56"/>
      <c r="C623" s="56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14.25" customHeight="1">
      <c r="A624" s="56"/>
      <c r="B624" s="56"/>
      <c r="C624" s="56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14.25" customHeight="1">
      <c r="A625" s="56"/>
      <c r="B625" s="56"/>
      <c r="C625" s="56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14.25" customHeight="1">
      <c r="A626" s="56"/>
      <c r="B626" s="56"/>
      <c r="C626" s="56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14.25" customHeight="1">
      <c r="A627" s="56"/>
      <c r="B627" s="56"/>
      <c r="C627" s="56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14.25" customHeight="1">
      <c r="A628" s="56"/>
      <c r="B628" s="56"/>
      <c r="C628" s="56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14.25" customHeight="1">
      <c r="A629" s="56"/>
      <c r="B629" s="56"/>
      <c r="C629" s="56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14.25" customHeight="1">
      <c r="A630" s="56"/>
      <c r="B630" s="56"/>
      <c r="C630" s="56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14.25" customHeight="1">
      <c r="A631" s="56"/>
      <c r="B631" s="56"/>
      <c r="C631" s="56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14.25" customHeight="1">
      <c r="A632" s="56"/>
      <c r="B632" s="56"/>
      <c r="C632" s="56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14.25" customHeight="1">
      <c r="A633" s="56"/>
      <c r="B633" s="56"/>
      <c r="C633" s="56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14.25" customHeight="1">
      <c r="A634" s="56"/>
      <c r="B634" s="56"/>
      <c r="C634" s="56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14.25" customHeight="1">
      <c r="A635" s="56"/>
      <c r="B635" s="56"/>
      <c r="C635" s="56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14.25" customHeight="1">
      <c r="A636" s="56"/>
      <c r="B636" s="56"/>
      <c r="C636" s="56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14.25" customHeight="1">
      <c r="A637" s="56"/>
      <c r="B637" s="56"/>
      <c r="C637" s="56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14.25" customHeight="1">
      <c r="A638" s="56"/>
      <c r="B638" s="56"/>
      <c r="C638" s="56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14.25" customHeight="1">
      <c r="A639" s="56"/>
      <c r="B639" s="56"/>
      <c r="C639" s="56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14.25" customHeight="1">
      <c r="A640" s="56"/>
      <c r="B640" s="56"/>
      <c r="C640" s="56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14.25" customHeight="1">
      <c r="A641" s="56"/>
      <c r="B641" s="56"/>
      <c r="C641" s="56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14.25" customHeight="1">
      <c r="A642" s="56"/>
      <c r="B642" s="56"/>
      <c r="C642" s="56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14.25" customHeight="1">
      <c r="A643" s="56"/>
      <c r="B643" s="56"/>
      <c r="C643" s="56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14.25" customHeight="1">
      <c r="A644" s="56"/>
      <c r="B644" s="56"/>
      <c r="C644" s="56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14.25" customHeight="1">
      <c r="A645" s="56"/>
      <c r="B645" s="56"/>
      <c r="C645" s="56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14.25" customHeight="1">
      <c r="A646" s="56"/>
      <c r="B646" s="56"/>
      <c r="C646" s="56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14.25" customHeight="1">
      <c r="A647" s="56"/>
      <c r="B647" s="56"/>
      <c r="C647" s="56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14.25" customHeight="1">
      <c r="A648" s="56"/>
      <c r="B648" s="56"/>
      <c r="C648" s="56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14.25" customHeight="1">
      <c r="A649" s="56"/>
      <c r="B649" s="56"/>
      <c r="C649" s="56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14.25" customHeight="1">
      <c r="A650" s="56"/>
      <c r="B650" s="56"/>
      <c r="C650" s="56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14.25" customHeight="1">
      <c r="A651" s="56"/>
      <c r="B651" s="56"/>
      <c r="C651" s="56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14.25" customHeight="1">
      <c r="A652" s="56"/>
      <c r="B652" s="56"/>
      <c r="C652" s="56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14.25" customHeight="1">
      <c r="A653" s="56"/>
      <c r="B653" s="56"/>
      <c r="C653" s="56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14.25" customHeight="1">
      <c r="A654" s="56"/>
      <c r="B654" s="56"/>
      <c r="C654" s="56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14.25" customHeight="1">
      <c r="A655" s="56"/>
      <c r="B655" s="56"/>
      <c r="C655" s="56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14.25" customHeight="1">
      <c r="A656" s="56"/>
      <c r="B656" s="56"/>
      <c r="C656" s="56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14.25" customHeight="1">
      <c r="A657" s="56"/>
      <c r="B657" s="56"/>
      <c r="C657" s="56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14.25" customHeight="1">
      <c r="A658" s="56"/>
      <c r="B658" s="56"/>
      <c r="C658" s="56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14.25" customHeight="1">
      <c r="A659" s="56"/>
      <c r="B659" s="56"/>
      <c r="C659" s="56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14.25" customHeight="1">
      <c r="A660" s="56"/>
      <c r="B660" s="56"/>
      <c r="C660" s="56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14.25" customHeight="1">
      <c r="A661" s="56"/>
      <c r="B661" s="56"/>
      <c r="C661" s="56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14.25" customHeight="1">
      <c r="A662" s="56"/>
      <c r="B662" s="56"/>
      <c r="C662" s="56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14.25" customHeight="1">
      <c r="A663" s="56"/>
      <c r="B663" s="56"/>
      <c r="C663" s="56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14.25" customHeight="1">
      <c r="A664" s="56"/>
      <c r="B664" s="56"/>
      <c r="C664" s="56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14.25" customHeight="1">
      <c r="A665" s="56"/>
      <c r="B665" s="56"/>
      <c r="C665" s="56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14.25" customHeight="1">
      <c r="A666" s="56"/>
      <c r="B666" s="56"/>
      <c r="C666" s="56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14.25" customHeight="1">
      <c r="A667" s="56"/>
      <c r="B667" s="56"/>
      <c r="C667" s="56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14.25" customHeight="1">
      <c r="A668" s="56"/>
      <c r="B668" s="56"/>
      <c r="C668" s="56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14.25" customHeight="1">
      <c r="A669" s="56"/>
      <c r="B669" s="56"/>
      <c r="C669" s="56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14.25" customHeight="1">
      <c r="A670" s="56"/>
      <c r="B670" s="56"/>
      <c r="C670" s="56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14.25" customHeight="1">
      <c r="A671" s="56"/>
      <c r="B671" s="56"/>
      <c r="C671" s="56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14.25" customHeight="1">
      <c r="A672" s="56"/>
      <c r="B672" s="56"/>
      <c r="C672" s="56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14.25" customHeight="1">
      <c r="A673" s="56"/>
      <c r="B673" s="56"/>
      <c r="C673" s="56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14.25" customHeight="1">
      <c r="A674" s="56"/>
      <c r="B674" s="56"/>
      <c r="C674" s="56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14.25" customHeight="1">
      <c r="A675" s="56"/>
      <c r="B675" s="56"/>
      <c r="C675" s="56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14.25" customHeight="1">
      <c r="A676" s="56"/>
      <c r="B676" s="56"/>
      <c r="C676" s="56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14.25" customHeight="1">
      <c r="A677" s="56"/>
      <c r="B677" s="56"/>
      <c r="C677" s="56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14.25" customHeight="1">
      <c r="A678" s="56"/>
      <c r="B678" s="56"/>
      <c r="C678" s="56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14.25" customHeight="1">
      <c r="A679" s="56"/>
      <c r="B679" s="56"/>
      <c r="C679" s="56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14.25" customHeight="1">
      <c r="A680" s="56"/>
      <c r="B680" s="56"/>
      <c r="C680" s="56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14.25" customHeight="1">
      <c r="A681" s="56"/>
      <c r="B681" s="56"/>
      <c r="C681" s="56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14.25" customHeight="1">
      <c r="A682" s="56"/>
      <c r="B682" s="56"/>
      <c r="C682" s="56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14.25" customHeight="1">
      <c r="A683" s="56"/>
      <c r="B683" s="56"/>
      <c r="C683" s="56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14.25" customHeight="1">
      <c r="A684" s="56"/>
      <c r="B684" s="56"/>
      <c r="C684" s="56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14.25" customHeight="1">
      <c r="A685" s="56"/>
      <c r="B685" s="56"/>
      <c r="C685" s="56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14.25" customHeight="1">
      <c r="A686" s="56"/>
      <c r="B686" s="56"/>
      <c r="C686" s="56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14.25" customHeight="1">
      <c r="A687" s="56"/>
      <c r="B687" s="56"/>
      <c r="C687" s="56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14.25" customHeight="1">
      <c r="A688" s="56"/>
      <c r="B688" s="56"/>
      <c r="C688" s="56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14.25" customHeight="1">
      <c r="A689" s="56"/>
      <c r="B689" s="56"/>
      <c r="C689" s="56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14.25" customHeight="1">
      <c r="A690" s="56"/>
      <c r="B690" s="56"/>
      <c r="C690" s="56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14.25" customHeight="1">
      <c r="A691" s="56"/>
      <c r="B691" s="56"/>
      <c r="C691" s="56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14.25" customHeight="1">
      <c r="A692" s="56"/>
      <c r="B692" s="56"/>
      <c r="C692" s="56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14.25" customHeight="1">
      <c r="A693" s="56"/>
      <c r="B693" s="56"/>
      <c r="C693" s="56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14.25" customHeight="1">
      <c r="A694" s="56"/>
      <c r="B694" s="56"/>
      <c r="C694" s="56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14.25" customHeight="1">
      <c r="A695" s="56"/>
      <c r="B695" s="56"/>
      <c r="C695" s="56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14.25" customHeight="1">
      <c r="A696" s="56"/>
      <c r="B696" s="56"/>
      <c r="C696" s="56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14.25" customHeight="1">
      <c r="A697" s="56"/>
      <c r="B697" s="56"/>
      <c r="C697" s="56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14.25" customHeight="1">
      <c r="A698" s="56"/>
      <c r="B698" s="56"/>
      <c r="C698" s="56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14.25" customHeight="1">
      <c r="A699" s="56"/>
      <c r="B699" s="56"/>
      <c r="C699" s="56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14.25" customHeight="1">
      <c r="A700" s="56"/>
      <c r="B700" s="56"/>
      <c r="C700" s="56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14.25" customHeight="1">
      <c r="A701" s="56"/>
      <c r="B701" s="56"/>
      <c r="C701" s="56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14.25" customHeight="1">
      <c r="A702" s="56"/>
      <c r="B702" s="56"/>
      <c r="C702" s="56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14.25" customHeight="1">
      <c r="A703" s="56"/>
      <c r="B703" s="56"/>
      <c r="C703" s="56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14.25" customHeight="1">
      <c r="A704" s="56"/>
      <c r="B704" s="56"/>
      <c r="C704" s="56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14.25" customHeight="1">
      <c r="A705" s="56"/>
      <c r="B705" s="56"/>
      <c r="C705" s="56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14.25" customHeight="1">
      <c r="A706" s="56"/>
      <c r="B706" s="56"/>
      <c r="C706" s="56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14.25" customHeight="1">
      <c r="A707" s="56"/>
      <c r="B707" s="56"/>
      <c r="C707" s="56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14.25" customHeight="1">
      <c r="A708" s="56"/>
      <c r="B708" s="56"/>
      <c r="C708" s="56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14.25" customHeight="1">
      <c r="A709" s="56"/>
      <c r="B709" s="56"/>
      <c r="C709" s="56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14.25" customHeight="1">
      <c r="A710" s="56"/>
      <c r="B710" s="56"/>
      <c r="C710" s="56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14.25" customHeight="1">
      <c r="A711" s="56"/>
      <c r="B711" s="56"/>
      <c r="C711" s="56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14.25" customHeight="1">
      <c r="A712" s="56"/>
      <c r="B712" s="56"/>
      <c r="C712" s="56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14.25" customHeight="1">
      <c r="A713" s="56"/>
      <c r="B713" s="56"/>
      <c r="C713" s="56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14.25" customHeight="1">
      <c r="A714" s="56"/>
      <c r="B714" s="56"/>
      <c r="C714" s="56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14.25" customHeight="1">
      <c r="A715" s="56"/>
      <c r="B715" s="56"/>
      <c r="C715" s="56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14.25" customHeight="1">
      <c r="A716" s="56"/>
      <c r="B716" s="56"/>
      <c r="C716" s="56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14.25" customHeight="1">
      <c r="A717" s="56"/>
      <c r="B717" s="56"/>
      <c r="C717" s="56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14.25" customHeight="1">
      <c r="A718" s="56"/>
      <c r="B718" s="56"/>
      <c r="C718" s="56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14.25" customHeight="1">
      <c r="A719" s="56"/>
      <c r="B719" s="56"/>
      <c r="C719" s="56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14.25" customHeight="1">
      <c r="A720" s="56"/>
      <c r="B720" s="56"/>
      <c r="C720" s="56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14.25" customHeight="1">
      <c r="A721" s="56"/>
      <c r="B721" s="56"/>
      <c r="C721" s="56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14.25" customHeight="1">
      <c r="A722" s="56"/>
      <c r="B722" s="56"/>
      <c r="C722" s="56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14.25" customHeight="1">
      <c r="A723" s="56"/>
      <c r="B723" s="56"/>
      <c r="C723" s="56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14.25" customHeight="1">
      <c r="A724" s="56"/>
      <c r="B724" s="56"/>
      <c r="C724" s="56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14.25" customHeight="1">
      <c r="A725" s="56"/>
      <c r="B725" s="56"/>
      <c r="C725" s="56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14.25" customHeight="1">
      <c r="A726" s="56"/>
      <c r="B726" s="56"/>
      <c r="C726" s="56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14.25" customHeight="1">
      <c r="A727" s="56"/>
      <c r="B727" s="56"/>
      <c r="C727" s="56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14.25" customHeight="1">
      <c r="A728" s="56"/>
      <c r="B728" s="56"/>
      <c r="C728" s="56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14.25" customHeight="1">
      <c r="A729" s="56"/>
      <c r="B729" s="56"/>
      <c r="C729" s="56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14.25" customHeight="1">
      <c r="A730" s="56"/>
      <c r="B730" s="56"/>
      <c r="C730" s="56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14.25" customHeight="1">
      <c r="A731" s="56"/>
      <c r="B731" s="56"/>
      <c r="C731" s="56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14.25" customHeight="1">
      <c r="A732" s="56"/>
      <c r="B732" s="56"/>
      <c r="C732" s="56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14.25" customHeight="1">
      <c r="A733" s="56"/>
      <c r="B733" s="56"/>
      <c r="C733" s="56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14.25" customHeight="1">
      <c r="A734" s="56"/>
      <c r="B734" s="56"/>
      <c r="C734" s="56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14.25" customHeight="1">
      <c r="A735" s="56"/>
      <c r="B735" s="56"/>
      <c r="C735" s="56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14.25" customHeight="1">
      <c r="A736" s="56"/>
      <c r="B736" s="56"/>
      <c r="C736" s="56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14.25" customHeight="1">
      <c r="A737" s="56"/>
      <c r="B737" s="56"/>
      <c r="C737" s="56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14.25" customHeight="1">
      <c r="A738" s="56"/>
      <c r="B738" s="56"/>
      <c r="C738" s="56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14.25" customHeight="1">
      <c r="A739" s="56"/>
      <c r="B739" s="56"/>
      <c r="C739" s="56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14.25" customHeight="1">
      <c r="A740" s="56"/>
      <c r="B740" s="56"/>
      <c r="C740" s="56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14.25" customHeight="1">
      <c r="A741" s="56"/>
      <c r="B741" s="56"/>
      <c r="C741" s="56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14.25" customHeight="1">
      <c r="A742" s="56"/>
      <c r="B742" s="56"/>
      <c r="C742" s="56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14.25" customHeight="1">
      <c r="A743" s="56"/>
      <c r="B743" s="56"/>
      <c r="C743" s="56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14.25" customHeight="1">
      <c r="A744" s="56"/>
      <c r="B744" s="56"/>
      <c r="C744" s="56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14.25" customHeight="1">
      <c r="A745" s="56"/>
      <c r="B745" s="56"/>
      <c r="C745" s="56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14.25" customHeight="1">
      <c r="A746" s="56"/>
      <c r="B746" s="56"/>
      <c r="C746" s="56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14.25" customHeight="1">
      <c r="A747" s="56"/>
      <c r="B747" s="56"/>
      <c r="C747" s="56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14.25" customHeight="1">
      <c r="A748" s="56"/>
      <c r="B748" s="56"/>
      <c r="C748" s="56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14.25" customHeight="1">
      <c r="A749" s="56"/>
      <c r="B749" s="56"/>
      <c r="C749" s="56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14.25" customHeight="1">
      <c r="A750" s="56"/>
      <c r="B750" s="56"/>
      <c r="C750" s="56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14.25" customHeight="1">
      <c r="A751" s="56"/>
      <c r="B751" s="56"/>
      <c r="C751" s="56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14.25" customHeight="1">
      <c r="A752" s="56"/>
      <c r="B752" s="56"/>
      <c r="C752" s="56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14.25" customHeight="1">
      <c r="A753" s="56"/>
      <c r="B753" s="56"/>
      <c r="C753" s="56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14.25" customHeight="1">
      <c r="A754" s="56"/>
      <c r="B754" s="56"/>
      <c r="C754" s="56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14.25" customHeight="1">
      <c r="A755" s="56"/>
      <c r="B755" s="56"/>
      <c r="C755" s="56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14.25" customHeight="1">
      <c r="A756" s="56"/>
      <c r="B756" s="56"/>
      <c r="C756" s="56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14.25" customHeight="1">
      <c r="A757" s="56"/>
      <c r="B757" s="56"/>
      <c r="C757" s="56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14.25" customHeight="1">
      <c r="A758" s="56"/>
      <c r="B758" s="56"/>
      <c r="C758" s="56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14.25" customHeight="1">
      <c r="A759" s="56"/>
      <c r="B759" s="56"/>
      <c r="C759" s="56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14.25" customHeight="1">
      <c r="A760" s="56"/>
      <c r="B760" s="56"/>
      <c r="C760" s="56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14.25" customHeight="1">
      <c r="A761" s="56"/>
      <c r="B761" s="56"/>
      <c r="C761" s="56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14.25" customHeight="1">
      <c r="A762" s="56"/>
      <c r="B762" s="56"/>
      <c r="C762" s="56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14.25" customHeight="1">
      <c r="A763" s="56"/>
      <c r="B763" s="56"/>
      <c r="C763" s="56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14.25" customHeight="1">
      <c r="A764" s="56"/>
      <c r="B764" s="56"/>
      <c r="C764" s="56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14.25" customHeight="1">
      <c r="A765" s="56"/>
      <c r="B765" s="56"/>
      <c r="C765" s="56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14.25" customHeight="1">
      <c r="A766" s="56"/>
      <c r="B766" s="56"/>
      <c r="C766" s="56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14.25" customHeight="1">
      <c r="A767" s="56"/>
      <c r="B767" s="56"/>
      <c r="C767" s="56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14.25" customHeight="1">
      <c r="A768" s="56"/>
      <c r="B768" s="56"/>
      <c r="C768" s="56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14.25" customHeight="1">
      <c r="A769" s="56"/>
      <c r="B769" s="56"/>
      <c r="C769" s="56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14.25" customHeight="1">
      <c r="A770" s="56"/>
      <c r="B770" s="56"/>
      <c r="C770" s="56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14.25" customHeight="1">
      <c r="A771" s="56"/>
      <c r="B771" s="56"/>
      <c r="C771" s="56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14.25" customHeight="1">
      <c r="A772" s="56"/>
      <c r="B772" s="56"/>
      <c r="C772" s="56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14.25" customHeight="1">
      <c r="A773" s="56"/>
      <c r="B773" s="56"/>
      <c r="C773" s="56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14.25" customHeight="1">
      <c r="A774" s="56"/>
      <c r="B774" s="56"/>
      <c r="C774" s="56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14.25" customHeight="1">
      <c r="A775" s="56"/>
      <c r="B775" s="56"/>
      <c r="C775" s="56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14.25" customHeight="1">
      <c r="A776" s="56"/>
      <c r="B776" s="56"/>
      <c r="C776" s="56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14.25" customHeight="1">
      <c r="A777" s="56"/>
      <c r="B777" s="56"/>
      <c r="C777" s="56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14.25" customHeight="1">
      <c r="A778" s="56"/>
      <c r="B778" s="56"/>
      <c r="C778" s="56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14.25" customHeight="1">
      <c r="A779" s="56"/>
      <c r="B779" s="56"/>
      <c r="C779" s="56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14.25" customHeight="1">
      <c r="A780" s="56"/>
      <c r="B780" s="56"/>
      <c r="C780" s="56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14.25" customHeight="1">
      <c r="A781" s="56"/>
      <c r="B781" s="56"/>
      <c r="C781" s="56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14.25" customHeight="1">
      <c r="A782" s="56"/>
      <c r="B782" s="56"/>
      <c r="C782" s="56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14.25" customHeight="1">
      <c r="A783" s="56"/>
      <c r="B783" s="56"/>
      <c r="C783" s="56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14.25" customHeight="1">
      <c r="A784" s="56"/>
      <c r="B784" s="56"/>
      <c r="C784" s="56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14.25" customHeight="1">
      <c r="A785" s="56"/>
      <c r="B785" s="56"/>
      <c r="C785" s="56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14.25" customHeight="1">
      <c r="A786" s="56"/>
      <c r="B786" s="56"/>
      <c r="C786" s="56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14.25" customHeight="1">
      <c r="A787" s="56"/>
      <c r="B787" s="56"/>
      <c r="C787" s="56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14.25" customHeight="1">
      <c r="A788" s="56"/>
      <c r="B788" s="56"/>
      <c r="C788" s="56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14.25" customHeight="1">
      <c r="A789" s="56"/>
      <c r="B789" s="56"/>
      <c r="C789" s="56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14.25" customHeight="1">
      <c r="A790" s="56"/>
      <c r="B790" s="56"/>
      <c r="C790" s="56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14.25" customHeight="1">
      <c r="A791" s="56"/>
      <c r="B791" s="56"/>
      <c r="C791" s="56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14.25" customHeight="1">
      <c r="A792" s="56"/>
      <c r="B792" s="56"/>
      <c r="C792" s="56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14.25" customHeight="1">
      <c r="A793" s="56"/>
      <c r="B793" s="56"/>
      <c r="C793" s="56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14.25" customHeight="1">
      <c r="A794" s="56"/>
      <c r="B794" s="56"/>
      <c r="C794" s="56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14.25" customHeight="1">
      <c r="A795" s="56"/>
      <c r="B795" s="56"/>
      <c r="C795" s="56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14.25" customHeight="1">
      <c r="A796" s="56"/>
      <c r="B796" s="56"/>
      <c r="C796" s="56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14.25" customHeight="1">
      <c r="A797" s="56"/>
      <c r="B797" s="56"/>
      <c r="C797" s="56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14.25" customHeight="1">
      <c r="A798" s="56"/>
      <c r="B798" s="56"/>
      <c r="C798" s="56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14.25" customHeight="1">
      <c r="A799" s="56"/>
      <c r="B799" s="56"/>
      <c r="C799" s="56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14.25" customHeight="1">
      <c r="A800" s="56"/>
      <c r="B800" s="56"/>
      <c r="C800" s="56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14.25" customHeight="1">
      <c r="A801" s="56"/>
      <c r="B801" s="56"/>
      <c r="C801" s="56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14.25" customHeight="1">
      <c r="A802" s="56"/>
      <c r="B802" s="56"/>
      <c r="C802" s="56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14.25" customHeight="1">
      <c r="A803" s="56"/>
      <c r="B803" s="56"/>
      <c r="C803" s="56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14.25" customHeight="1">
      <c r="A804" s="56"/>
      <c r="B804" s="56"/>
      <c r="C804" s="56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14.25" customHeight="1">
      <c r="A805" s="56"/>
      <c r="B805" s="56"/>
      <c r="C805" s="56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14.25" customHeight="1">
      <c r="A806" s="56"/>
      <c r="B806" s="56"/>
      <c r="C806" s="56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14.25" customHeight="1">
      <c r="A807" s="56"/>
      <c r="B807" s="56"/>
      <c r="C807" s="56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14.25" customHeight="1">
      <c r="A808" s="56"/>
      <c r="B808" s="56"/>
      <c r="C808" s="56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14.25" customHeight="1">
      <c r="A809" s="56"/>
      <c r="B809" s="56"/>
      <c r="C809" s="56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14.25" customHeight="1">
      <c r="A810" s="56"/>
      <c r="B810" s="56"/>
      <c r="C810" s="56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14.25" customHeight="1">
      <c r="A811" s="56"/>
      <c r="B811" s="56"/>
      <c r="C811" s="56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14.25" customHeight="1">
      <c r="A812" s="56"/>
      <c r="B812" s="56"/>
      <c r="C812" s="56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14.25" customHeight="1">
      <c r="A813" s="56"/>
      <c r="B813" s="56"/>
      <c r="C813" s="56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14.25" customHeight="1">
      <c r="A814" s="56"/>
      <c r="B814" s="56"/>
      <c r="C814" s="56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14.25" customHeight="1">
      <c r="A815" s="56"/>
      <c r="B815" s="56"/>
      <c r="C815" s="56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14.25" customHeight="1">
      <c r="A816" s="56"/>
      <c r="B816" s="56"/>
      <c r="C816" s="56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14.25" customHeight="1">
      <c r="A817" s="56"/>
      <c r="B817" s="56"/>
      <c r="C817" s="56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14.25" customHeight="1">
      <c r="A818" s="56"/>
      <c r="B818" s="56"/>
      <c r="C818" s="56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14.25" customHeight="1">
      <c r="A819" s="56"/>
      <c r="B819" s="56"/>
      <c r="C819" s="56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14.25" customHeight="1">
      <c r="A820" s="56"/>
      <c r="B820" s="56"/>
      <c r="C820" s="56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14.25" customHeight="1">
      <c r="A821" s="56"/>
      <c r="B821" s="56"/>
      <c r="C821" s="56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14.25" customHeight="1">
      <c r="A822" s="56"/>
      <c r="B822" s="56"/>
      <c r="C822" s="56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14.25" customHeight="1">
      <c r="A823" s="56"/>
      <c r="B823" s="56"/>
      <c r="C823" s="56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14.25" customHeight="1">
      <c r="A824" s="56"/>
      <c r="B824" s="56"/>
      <c r="C824" s="56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14.25" customHeight="1">
      <c r="A825" s="56"/>
      <c r="B825" s="56"/>
      <c r="C825" s="56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14.25" customHeight="1">
      <c r="A826" s="56"/>
      <c r="B826" s="56"/>
      <c r="C826" s="56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14.25" customHeight="1">
      <c r="A827" s="56"/>
      <c r="B827" s="56"/>
      <c r="C827" s="56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14.25" customHeight="1">
      <c r="A828" s="56"/>
      <c r="B828" s="56"/>
      <c r="C828" s="56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14.25" customHeight="1">
      <c r="A829" s="56"/>
      <c r="B829" s="56"/>
      <c r="C829" s="56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14.25" customHeight="1">
      <c r="A830" s="56"/>
      <c r="B830" s="56"/>
      <c r="C830" s="56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14.25" customHeight="1">
      <c r="A831" s="56"/>
      <c r="B831" s="56"/>
      <c r="C831" s="56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14.25" customHeight="1">
      <c r="A832" s="56"/>
      <c r="B832" s="56"/>
      <c r="C832" s="56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14.25" customHeight="1">
      <c r="A833" s="56"/>
      <c r="B833" s="56"/>
      <c r="C833" s="56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14.25" customHeight="1">
      <c r="A834" s="56"/>
      <c r="B834" s="56"/>
      <c r="C834" s="56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14.25" customHeight="1">
      <c r="A835" s="56"/>
      <c r="B835" s="56"/>
      <c r="C835" s="56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14.25" customHeight="1">
      <c r="A836" s="56"/>
      <c r="B836" s="56"/>
      <c r="C836" s="56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14.25" customHeight="1">
      <c r="A837" s="56"/>
      <c r="B837" s="56"/>
      <c r="C837" s="56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14.25" customHeight="1">
      <c r="A838" s="56"/>
      <c r="B838" s="56"/>
      <c r="C838" s="56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14.25" customHeight="1">
      <c r="A839" s="56"/>
      <c r="B839" s="56"/>
      <c r="C839" s="56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14.25" customHeight="1">
      <c r="A840" s="56"/>
      <c r="B840" s="56"/>
      <c r="C840" s="56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14.25" customHeight="1">
      <c r="A841" s="56"/>
      <c r="B841" s="56"/>
      <c r="C841" s="56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14.25" customHeight="1">
      <c r="A842" s="56"/>
      <c r="B842" s="56"/>
      <c r="C842" s="56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14.25" customHeight="1">
      <c r="A843" s="56"/>
      <c r="B843" s="56"/>
      <c r="C843" s="56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14.25" customHeight="1">
      <c r="A844" s="56"/>
      <c r="B844" s="56"/>
      <c r="C844" s="56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14.25" customHeight="1">
      <c r="A845" s="56"/>
      <c r="B845" s="56"/>
      <c r="C845" s="56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14.25" customHeight="1">
      <c r="A846" s="56"/>
      <c r="B846" s="56"/>
      <c r="C846" s="56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14.25" customHeight="1">
      <c r="A847" s="56"/>
      <c r="B847" s="56"/>
      <c r="C847" s="56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14.25" customHeight="1">
      <c r="A848" s="56"/>
      <c r="B848" s="56"/>
      <c r="C848" s="56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14.25" customHeight="1">
      <c r="A849" s="56"/>
      <c r="B849" s="56"/>
      <c r="C849" s="56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14.25" customHeight="1">
      <c r="A850" s="56"/>
      <c r="B850" s="56"/>
      <c r="C850" s="56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14.25" customHeight="1">
      <c r="A851" s="56"/>
      <c r="B851" s="56"/>
      <c r="C851" s="56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14.25" customHeight="1">
      <c r="A852" s="56"/>
      <c r="B852" s="56"/>
      <c r="C852" s="56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14.25" customHeight="1">
      <c r="A853" s="56"/>
      <c r="B853" s="56"/>
      <c r="C853" s="56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14.25" customHeight="1">
      <c r="A854" s="56"/>
      <c r="B854" s="56"/>
      <c r="C854" s="56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14.25" customHeight="1">
      <c r="A855" s="56"/>
      <c r="B855" s="56"/>
      <c r="C855" s="56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14.25" customHeight="1">
      <c r="A856" s="56"/>
      <c r="B856" s="56"/>
      <c r="C856" s="56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14.25" customHeight="1">
      <c r="A857" s="56"/>
      <c r="B857" s="56"/>
      <c r="C857" s="56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14.25" customHeight="1">
      <c r="A858" s="56"/>
      <c r="B858" s="56"/>
      <c r="C858" s="56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14.25" customHeight="1">
      <c r="A859" s="56"/>
      <c r="B859" s="56"/>
      <c r="C859" s="56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14.25" customHeight="1">
      <c r="A860" s="56"/>
      <c r="B860" s="56"/>
      <c r="C860" s="56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14.25" customHeight="1">
      <c r="A861" s="56"/>
      <c r="B861" s="56"/>
      <c r="C861" s="56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14.25" customHeight="1">
      <c r="A862" s="56"/>
      <c r="B862" s="56"/>
      <c r="C862" s="56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14.25" customHeight="1">
      <c r="A863" s="56"/>
      <c r="B863" s="56"/>
      <c r="C863" s="56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14.25" customHeight="1">
      <c r="A864" s="56"/>
      <c r="B864" s="56"/>
      <c r="C864" s="56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14.25" customHeight="1">
      <c r="A865" s="56"/>
      <c r="B865" s="56"/>
      <c r="C865" s="56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14.25" customHeight="1">
      <c r="A866" s="56"/>
      <c r="B866" s="56"/>
      <c r="C866" s="56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14.25" customHeight="1">
      <c r="A867" s="56"/>
      <c r="B867" s="56"/>
      <c r="C867" s="56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14.25" customHeight="1">
      <c r="A868" s="56"/>
      <c r="B868" s="56"/>
      <c r="C868" s="56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14.25" customHeight="1">
      <c r="A869" s="56"/>
      <c r="B869" s="56"/>
      <c r="C869" s="56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14.25" customHeight="1">
      <c r="A870" s="56"/>
      <c r="B870" s="56"/>
      <c r="C870" s="56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14.25" customHeight="1">
      <c r="A871" s="56"/>
      <c r="B871" s="56"/>
      <c r="C871" s="56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14.25" customHeight="1">
      <c r="A872" s="56"/>
      <c r="B872" s="56"/>
      <c r="C872" s="56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14.25" customHeight="1">
      <c r="A873" s="56"/>
      <c r="B873" s="56"/>
      <c r="C873" s="56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14.25" customHeight="1">
      <c r="A874" s="56"/>
      <c r="B874" s="56"/>
      <c r="C874" s="56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14.25" customHeight="1">
      <c r="A875" s="56"/>
      <c r="B875" s="56"/>
      <c r="C875" s="56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14.25" customHeight="1">
      <c r="A876" s="56"/>
      <c r="B876" s="56"/>
      <c r="C876" s="56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14.25" customHeight="1">
      <c r="A877" s="56"/>
      <c r="B877" s="56"/>
      <c r="C877" s="56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14.25" customHeight="1">
      <c r="A878" s="56"/>
      <c r="B878" s="56"/>
      <c r="C878" s="56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14.25" customHeight="1">
      <c r="A879" s="56"/>
      <c r="B879" s="56"/>
      <c r="C879" s="56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14.25" customHeight="1">
      <c r="A880" s="56"/>
      <c r="B880" s="56"/>
      <c r="C880" s="56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14.25" customHeight="1">
      <c r="A881" s="56"/>
      <c r="B881" s="56"/>
      <c r="C881" s="56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14.25" customHeight="1">
      <c r="A882" s="56"/>
      <c r="B882" s="56"/>
      <c r="C882" s="56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14.25" customHeight="1">
      <c r="A883" s="56"/>
      <c r="B883" s="56"/>
      <c r="C883" s="56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14.25" customHeight="1">
      <c r="A884" s="56"/>
      <c r="B884" s="56"/>
      <c r="C884" s="56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14.25" customHeight="1">
      <c r="A885" s="56"/>
      <c r="B885" s="56"/>
      <c r="C885" s="56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14.25" customHeight="1">
      <c r="A886" s="56"/>
      <c r="B886" s="56"/>
      <c r="C886" s="56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14.25" customHeight="1">
      <c r="A887" s="56"/>
      <c r="B887" s="56"/>
      <c r="C887" s="56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14.25" customHeight="1">
      <c r="A888" s="56"/>
      <c r="B888" s="56"/>
      <c r="C888" s="56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14.25" customHeight="1">
      <c r="A889" s="56"/>
      <c r="B889" s="56"/>
      <c r="C889" s="56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14.25" customHeight="1">
      <c r="A890" s="56"/>
      <c r="B890" s="56"/>
      <c r="C890" s="56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14.25" customHeight="1">
      <c r="A891" s="56"/>
      <c r="B891" s="56"/>
      <c r="C891" s="56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14.25" customHeight="1">
      <c r="A892" s="56"/>
      <c r="B892" s="56"/>
      <c r="C892" s="56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14.25" customHeight="1">
      <c r="A893" s="56"/>
      <c r="B893" s="56"/>
      <c r="C893" s="56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14.25" customHeight="1">
      <c r="A894" s="56"/>
      <c r="B894" s="56"/>
      <c r="C894" s="56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14.25" customHeight="1">
      <c r="A895" s="56"/>
      <c r="B895" s="56"/>
      <c r="C895" s="56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14.25" customHeight="1">
      <c r="A896" s="56"/>
      <c r="B896" s="56"/>
      <c r="C896" s="56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14.25" customHeight="1">
      <c r="A897" s="56"/>
      <c r="B897" s="56"/>
      <c r="C897" s="56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14.25" customHeight="1">
      <c r="A898" s="56"/>
      <c r="B898" s="56"/>
      <c r="C898" s="56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14.25" customHeight="1">
      <c r="A899" s="56"/>
      <c r="B899" s="56"/>
      <c r="C899" s="56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14.25" customHeight="1">
      <c r="A900" s="56"/>
      <c r="B900" s="56"/>
      <c r="C900" s="56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14.25" customHeight="1">
      <c r="A901" s="56"/>
      <c r="B901" s="56"/>
      <c r="C901" s="56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14.25" customHeight="1">
      <c r="A902" s="56"/>
      <c r="B902" s="56"/>
      <c r="C902" s="56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14.25" customHeight="1">
      <c r="A903" s="56"/>
      <c r="B903" s="56"/>
      <c r="C903" s="56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14.25" customHeight="1">
      <c r="A904" s="56"/>
      <c r="B904" s="56"/>
      <c r="C904" s="56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14.25" customHeight="1">
      <c r="A905" s="56"/>
      <c r="B905" s="56"/>
      <c r="C905" s="56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14.25" customHeight="1">
      <c r="A906" s="56"/>
      <c r="B906" s="56"/>
      <c r="C906" s="56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14.25" customHeight="1">
      <c r="A907" s="56"/>
      <c r="B907" s="56"/>
      <c r="C907" s="56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14.25" customHeight="1">
      <c r="A908" s="56"/>
      <c r="B908" s="56"/>
      <c r="C908" s="56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14.25" customHeight="1">
      <c r="A909" s="56"/>
      <c r="B909" s="56"/>
      <c r="C909" s="56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14.25" customHeight="1">
      <c r="A910" s="56"/>
      <c r="B910" s="56"/>
      <c r="C910" s="56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14.25" customHeight="1">
      <c r="A911" s="56"/>
      <c r="B911" s="56"/>
      <c r="C911" s="56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14.25" customHeight="1">
      <c r="A912" s="56"/>
      <c r="B912" s="56"/>
      <c r="C912" s="56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14.25" customHeight="1">
      <c r="A913" s="56"/>
      <c r="B913" s="56"/>
      <c r="C913" s="56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14.25" customHeight="1">
      <c r="A914" s="56"/>
      <c r="B914" s="56"/>
      <c r="C914" s="56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14.25" customHeight="1">
      <c r="A915" s="56"/>
      <c r="B915" s="56"/>
      <c r="C915" s="56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14.25" customHeight="1">
      <c r="A916" s="56"/>
      <c r="B916" s="56"/>
      <c r="C916" s="56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14.25" customHeight="1">
      <c r="A917" s="56"/>
      <c r="B917" s="56"/>
      <c r="C917" s="56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14.25" customHeight="1">
      <c r="A918" s="56"/>
      <c r="B918" s="56"/>
      <c r="C918" s="56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14.25" customHeight="1">
      <c r="A919" s="56"/>
      <c r="B919" s="56"/>
      <c r="C919" s="56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14.25" customHeight="1">
      <c r="A920" s="56"/>
      <c r="B920" s="56"/>
      <c r="C920" s="56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14.25" customHeight="1">
      <c r="A921" s="56"/>
      <c r="B921" s="56"/>
      <c r="C921" s="56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14.25" customHeight="1">
      <c r="A922" s="56"/>
      <c r="B922" s="56"/>
      <c r="C922" s="56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14.25" customHeight="1">
      <c r="A923" s="56"/>
      <c r="B923" s="56"/>
      <c r="C923" s="56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14.25" customHeight="1">
      <c r="A924" s="56"/>
      <c r="B924" s="56"/>
      <c r="C924" s="56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14.25" customHeight="1">
      <c r="A925" s="56"/>
      <c r="B925" s="56"/>
      <c r="C925" s="56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14.25" customHeight="1">
      <c r="A926" s="56"/>
      <c r="B926" s="56"/>
      <c r="C926" s="56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14.25" customHeight="1">
      <c r="A927" s="56"/>
      <c r="B927" s="56"/>
      <c r="C927" s="56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14.25" customHeight="1">
      <c r="A928" s="56"/>
      <c r="B928" s="56"/>
      <c r="C928" s="56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14.25" customHeight="1">
      <c r="A929" s="56"/>
      <c r="B929" s="56"/>
      <c r="C929" s="56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14.25" customHeight="1">
      <c r="A930" s="56"/>
      <c r="B930" s="56"/>
      <c r="C930" s="56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14.25" customHeight="1">
      <c r="A931" s="56"/>
      <c r="B931" s="56"/>
      <c r="C931" s="56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14.25" customHeight="1">
      <c r="A932" s="56"/>
      <c r="B932" s="56"/>
      <c r="C932" s="56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14.25" customHeight="1">
      <c r="A933" s="56"/>
      <c r="B933" s="56"/>
      <c r="C933" s="56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14.25" customHeight="1">
      <c r="A934" s="56"/>
      <c r="B934" s="56"/>
      <c r="C934" s="56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14.25" customHeight="1">
      <c r="A935" s="56"/>
      <c r="B935" s="56"/>
      <c r="C935" s="56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14.25" customHeight="1">
      <c r="A936" s="56"/>
      <c r="B936" s="56"/>
      <c r="C936" s="56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14.25" customHeight="1">
      <c r="A937" s="56"/>
      <c r="B937" s="56"/>
      <c r="C937" s="56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14.25" customHeight="1">
      <c r="A938" s="56"/>
      <c r="B938" s="56"/>
      <c r="C938" s="56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14.25" customHeight="1">
      <c r="A939" s="56"/>
      <c r="B939" s="56"/>
      <c r="C939" s="56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14.25" customHeight="1">
      <c r="A940" s="56"/>
      <c r="B940" s="56"/>
      <c r="C940" s="56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14.25" customHeight="1">
      <c r="A941" s="56"/>
      <c r="B941" s="56"/>
      <c r="C941" s="56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14.25" customHeight="1">
      <c r="A942" s="56"/>
      <c r="B942" s="56"/>
      <c r="C942" s="56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14.25" customHeight="1">
      <c r="A943" s="56"/>
      <c r="B943" s="56"/>
      <c r="C943" s="56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14.25" customHeight="1">
      <c r="A944" s="56"/>
      <c r="B944" s="56"/>
      <c r="C944" s="56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14.25" customHeight="1">
      <c r="A945" s="56"/>
      <c r="B945" s="56"/>
      <c r="C945" s="56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14.25" customHeight="1">
      <c r="A946" s="56"/>
      <c r="B946" s="56"/>
      <c r="C946" s="56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14.25" customHeight="1">
      <c r="A947" s="56"/>
      <c r="B947" s="56"/>
      <c r="C947" s="56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14.25" customHeight="1">
      <c r="A948" s="56"/>
      <c r="B948" s="56"/>
      <c r="C948" s="56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14.25" customHeight="1">
      <c r="A949" s="56"/>
      <c r="B949" s="56"/>
      <c r="C949" s="56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14.25" customHeight="1">
      <c r="A950" s="56"/>
      <c r="B950" s="56"/>
      <c r="C950" s="56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14.25" customHeight="1">
      <c r="A951" s="56"/>
      <c r="B951" s="56"/>
      <c r="C951" s="56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14.25" customHeight="1">
      <c r="A952" s="56"/>
      <c r="B952" s="56"/>
      <c r="C952" s="56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14.25" customHeight="1">
      <c r="A953" s="56"/>
      <c r="B953" s="56"/>
      <c r="C953" s="56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14.25" customHeight="1">
      <c r="A954" s="56"/>
      <c r="B954" s="56"/>
      <c r="C954" s="56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14.25" customHeight="1">
      <c r="A955" s="56"/>
      <c r="B955" s="56"/>
      <c r="C955" s="56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14.25" customHeight="1">
      <c r="A956" s="56"/>
      <c r="B956" s="56"/>
      <c r="C956" s="56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14.25" customHeight="1">
      <c r="A957" s="56"/>
      <c r="B957" s="56"/>
      <c r="C957" s="56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14.25" customHeight="1">
      <c r="A958" s="56"/>
      <c r="B958" s="56"/>
      <c r="C958" s="56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14.25" customHeight="1">
      <c r="A959" s="56"/>
      <c r="B959" s="56"/>
      <c r="C959" s="56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14.25" customHeight="1">
      <c r="A960" s="56"/>
      <c r="B960" s="56"/>
      <c r="C960" s="56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14.25" customHeight="1">
      <c r="A961" s="56"/>
      <c r="B961" s="56"/>
      <c r="C961" s="56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14.25" customHeight="1">
      <c r="A962" s="56"/>
      <c r="B962" s="56"/>
      <c r="C962" s="56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14.25" customHeight="1">
      <c r="A963" s="56"/>
      <c r="B963" s="56"/>
      <c r="C963" s="56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14.25" customHeight="1">
      <c r="A964" s="56"/>
      <c r="B964" s="56"/>
      <c r="C964" s="56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14.25" customHeight="1">
      <c r="A965" s="56"/>
      <c r="B965" s="56"/>
      <c r="C965" s="56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14.25" customHeight="1">
      <c r="A966" s="56"/>
      <c r="B966" s="56"/>
      <c r="C966" s="56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14.25" customHeight="1">
      <c r="A967" s="56"/>
      <c r="B967" s="56"/>
      <c r="C967" s="56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14.25" customHeight="1">
      <c r="A968" s="56"/>
      <c r="B968" s="56"/>
      <c r="C968" s="56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14.25" customHeight="1">
      <c r="A969" s="56"/>
      <c r="B969" s="56"/>
      <c r="C969" s="56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14.25" customHeight="1">
      <c r="A970" s="56"/>
      <c r="B970" s="56"/>
      <c r="C970" s="56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14.25" customHeight="1">
      <c r="A971" s="56"/>
      <c r="B971" s="56"/>
      <c r="C971" s="56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14.25" customHeight="1">
      <c r="A972" s="56"/>
      <c r="B972" s="56"/>
      <c r="C972" s="56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14.25" customHeight="1">
      <c r="A973" s="56"/>
      <c r="B973" s="56"/>
      <c r="C973" s="56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14.25" customHeight="1">
      <c r="A974" s="56"/>
      <c r="B974" s="56"/>
      <c r="C974" s="56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14.25" customHeight="1">
      <c r="A975" s="56"/>
      <c r="B975" s="56"/>
      <c r="C975" s="56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14.25" customHeight="1">
      <c r="A976" s="56"/>
      <c r="B976" s="56"/>
      <c r="C976" s="56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14.25" customHeight="1">
      <c r="A977" s="56"/>
      <c r="B977" s="56"/>
      <c r="C977" s="56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14.25" customHeight="1">
      <c r="A978" s="56"/>
      <c r="B978" s="56"/>
      <c r="C978" s="56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14.25" customHeight="1">
      <c r="A979" s="56"/>
      <c r="B979" s="56"/>
      <c r="C979" s="56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14.25" customHeight="1">
      <c r="A980" s="56"/>
      <c r="B980" s="56"/>
      <c r="C980" s="56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14.25" customHeight="1">
      <c r="A981" s="56"/>
      <c r="B981" s="56"/>
      <c r="C981" s="56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14.25" customHeight="1">
      <c r="A982" s="56"/>
      <c r="B982" s="56"/>
      <c r="C982" s="56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14.25" customHeight="1">
      <c r="A983" s="56"/>
      <c r="B983" s="56"/>
      <c r="C983" s="56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14.25" customHeight="1">
      <c r="A984" s="56"/>
      <c r="B984" s="56"/>
      <c r="C984" s="56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14.25" customHeight="1">
      <c r="A985" s="56"/>
      <c r="B985" s="56"/>
      <c r="C985" s="56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14.25" customHeight="1">
      <c r="A986" s="56"/>
      <c r="B986" s="56"/>
      <c r="C986" s="56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14.25" customHeight="1">
      <c r="A987" s="56"/>
      <c r="B987" s="56"/>
      <c r="C987" s="56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14.25" customHeight="1">
      <c r="A988" s="56"/>
      <c r="B988" s="56"/>
      <c r="C988" s="56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14.25" customHeight="1">
      <c r="A989" s="56"/>
      <c r="B989" s="56"/>
      <c r="C989" s="56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14.25" customHeight="1">
      <c r="A990" s="56"/>
      <c r="B990" s="56"/>
      <c r="C990" s="56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14.25" customHeight="1">
      <c r="A991" s="56"/>
      <c r="B991" s="56"/>
      <c r="C991" s="56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14.25" customHeight="1">
      <c r="A992" s="56"/>
      <c r="B992" s="56"/>
      <c r="C992" s="56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14.25" customHeight="1">
      <c r="A993" s="56"/>
      <c r="B993" s="56"/>
      <c r="C993" s="56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14.25" customHeight="1">
      <c r="A994" s="56"/>
      <c r="B994" s="56"/>
      <c r="C994" s="56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14.25" customHeight="1">
      <c r="A995" s="56"/>
      <c r="B995" s="56"/>
      <c r="C995" s="56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14.25" customHeight="1">
      <c r="A996" s="56"/>
      <c r="B996" s="56"/>
      <c r="C996" s="56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14.25" customHeight="1">
      <c r="A997" s="56"/>
      <c r="B997" s="56"/>
      <c r="C997" s="56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14.25" customHeight="1">
      <c r="A998" s="56"/>
      <c r="B998" s="56"/>
      <c r="C998" s="56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ht="14.25" customHeight="1">
      <c r="A999" s="56"/>
      <c r="B999" s="56"/>
      <c r="C999" s="56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ht="14.25" customHeight="1">
      <c r="A1000" s="56"/>
      <c r="B1000" s="56"/>
      <c r="C1000" s="56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3">
    <mergeCell ref="A2:C2"/>
    <mergeCell ref="A5:C5"/>
    <mergeCell ref="A8:C8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2019-10-08T18:01:28Z</dcterms:created>
  <dc:creator>Gustavo Machado de Freitas;Mateus Szwarcwing</dc:creator>
</cp:coreProperties>
</file>